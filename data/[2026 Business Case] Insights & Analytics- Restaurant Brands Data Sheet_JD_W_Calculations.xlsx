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Restaurant Brands Dataset" sheetId="1" r:id="rId5"/>
    <sheet state="visible" name="RAW Demographic Data" sheetId="2" r:id="rId6"/>
    <sheet state="visible" name="Input Resturant Brands Scoring " sheetId="3" r:id="rId7"/>
    <sheet state="visible" name="Input Fee and Elasticity Inputs" sheetId="4" r:id="rId8"/>
    <sheet state="visible" name="Model Resturant Brands Scoring " sheetId="5" r:id="rId9"/>
    <sheet state="visible" name="Sheet5" sheetId="6" r:id="rId10"/>
    <sheet state="visible" name="Viz Resturant Brands Scoring Mo" sheetId="7" r:id="rId11"/>
  </sheets>
  <definedNames>
    <definedName hidden="1" localSheetId="4" name="_xlnm._FilterDatabase">'Model Resturant Brands Scoring '!$A$2:$AA$202</definedName>
    <definedName hidden="1" localSheetId="5" name="_xlnm._FilterDatabase">Sheet5!$A$1:$AA$201</definedName>
  </definedNames>
  <calcPr/>
</workbook>
</file>

<file path=xl/sharedStrings.xml><?xml version="1.0" encoding="utf-8"?>
<sst xmlns="http://schemas.openxmlformats.org/spreadsheetml/2006/main" count="954" uniqueCount="299">
  <si>
    <t>Brand Name</t>
  </si>
  <si>
    <t>Annualized Trips</t>
  </si>
  <si>
    <t>Active Locations</t>
  </si>
  <si>
    <t>Total Locations</t>
  </si>
  <si>
    <t>% Franchised</t>
  </si>
  <si>
    <t>Avg. Basket Size</t>
  </si>
  <si>
    <t>Marketplace Fee</t>
  </si>
  <si>
    <t>%Orders from First Time Eaters</t>
  </si>
  <si>
    <t>Order Defect Rate</t>
  </si>
  <si>
    <t>Avg. Courier Wait Time (min)</t>
  </si>
  <si>
    <t>Original Tommy's Hamburgers</t>
  </si>
  <si>
    <t>Baja Fresh Mexican Grill</t>
  </si>
  <si>
    <t>Little Greek</t>
  </si>
  <si>
    <t>Tocaya Organica</t>
  </si>
  <si>
    <t>Freshii</t>
  </si>
  <si>
    <t>Carl's Jr. Restaurants</t>
  </si>
  <si>
    <t>Pita Pit</t>
  </si>
  <si>
    <t>Cici's Enterprises</t>
  </si>
  <si>
    <t>Gus's World Famous Fried Chicken</t>
  </si>
  <si>
    <t>The Buffalo Spot</t>
  </si>
  <si>
    <t>Wings Over</t>
  </si>
  <si>
    <t>Bed-Stuy Fish Fry</t>
  </si>
  <si>
    <t>Shari's Cafe &amp; Pies</t>
  </si>
  <si>
    <t>Romano's Macaroni Grill</t>
  </si>
  <si>
    <t>Village Inn</t>
  </si>
  <si>
    <t>Gong Cha</t>
  </si>
  <si>
    <t>Papa John's</t>
  </si>
  <si>
    <t>Manny &amp; Olga's Pizza</t>
  </si>
  <si>
    <t>Corporate Management Group</t>
  </si>
  <si>
    <t>J. Christopher's</t>
  </si>
  <si>
    <t>First Watch</t>
  </si>
  <si>
    <t>Fatburger</t>
  </si>
  <si>
    <t>JINYA Ramen Bar</t>
  </si>
  <si>
    <t>Chipotle</t>
  </si>
  <si>
    <t>Five Guys Enterprises, LLC</t>
  </si>
  <si>
    <t>Los Amigos Taqueria</t>
  </si>
  <si>
    <t>Los Verdes</t>
  </si>
  <si>
    <t>Vitality Bowls</t>
  </si>
  <si>
    <t>Qdoba</t>
  </si>
  <si>
    <t>Donato's Pizza</t>
  </si>
  <si>
    <t>Little Caesars</t>
  </si>
  <si>
    <t>Jersey Mike's Subs</t>
  </si>
  <si>
    <t>Yogis Grill</t>
  </si>
  <si>
    <t>MyRosati's Pizza</t>
  </si>
  <si>
    <t>PDQ</t>
  </si>
  <si>
    <t>BBQ Chicken</t>
  </si>
  <si>
    <t>Tropical Smoothie Cafe</t>
  </si>
  <si>
    <t>Modern Market</t>
  </si>
  <si>
    <t>Corner Bakery Cafe</t>
  </si>
  <si>
    <t>Bonchon</t>
  </si>
  <si>
    <t>Noches De Colombia</t>
  </si>
  <si>
    <t>Dallas BBQ</t>
  </si>
  <si>
    <t>Carvel</t>
  </si>
  <si>
    <t>Franklin Restaurant Group</t>
  </si>
  <si>
    <t>Moe's Southwest Grill</t>
  </si>
  <si>
    <t>Tacos El Gavilan</t>
  </si>
  <si>
    <t>Dickey's Barbecue Restaurants, Inc.</t>
  </si>
  <si>
    <t>Firehouse Subs</t>
  </si>
  <si>
    <t>Sarpino's Pizzeria</t>
  </si>
  <si>
    <t>Captain D's Seafood Restaurant</t>
  </si>
  <si>
    <t>Manhattan Bagel</t>
  </si>
  <si>
    <t>Roti Modern Mediterranean, LLC</t>
  </si>
  <si>
    <t>Red Lobster</t>
  </si>
  <si>
    <t>Fun Eats and Drinks</t>
  </si>
  <si>
    <t>Fresh Kitchen</t>
  </si>
  <si>
    <t>Sombrero Mexican Food</t>
  </si>
  <si>
    <t>Starbucks</t>
  </si>
  <si>
    <t>T.G.I. Friday's</t>
  </si>
  <si>
    <t>Smokey Bones Bar &amp; Fire Grill</t>
  </si>
  <si>
    <t>Taco Burrito King</t>
  </si>
  <si>
    <t>Bawarchi Biryani Point</t>
  </si>
  <si>
    <t>Anthony's Coal Fired Pizza</t>
  </si>
  <si>
    <t>Which Wich Superior Sandwiches</t>
  </si>
  <si>
    <t>Footprints Cafe</t>
  </si>
  <si>
    <t>Krispy Krunchy Chicken</t>
  </si>
  <si>
    <t>Fuddruckers</t>
  </si>
  <si>
    <t>The Valls Group</t>
  </si>
  <si>
    <t>Checkers Drive-In Restaurants, Inc.,</t>
  </si>
  <si>
    <t>Luna Grill</t>
  </si>
  <si>
    <t>Mellow Mushroom</t>
  </si>
  <si>
    <t>WZ Franchise Corporation</t>
  </si>
  <si>
    <t>Pokeworks</t>
  </si>
  <si>
    <t>Miami Subs</t>
  </si>
  <si>
    <t>Moshi Moshi</t>
  </si>
  <si>
    <t>Playa Bowls</t>
  </si>
  <si>
    <t>Pinecrest Bakery</t>
  </si>
  <si>
    <t>Duchess Restaurant</t>
  </si>
  <si>
    <t>Quickway</t>
  </si>
  <si>
    <t>L&amp;L Hawaiian BBQ</t>
  </si>
  <si>
    <t>Pieology Pizzeria</t>
  </si>
  <si>
    <t>Noodles &amp; Company</t>
  </si>
  <si>
    <t>4 Rivers Smokehouse</t>
  </si>
  <si>
    <t>Red Robin</t>
  </si>
  <si>
    <t>Hopdoddy Burger Bar</t>
  </si>
  <si>
    <t>Sonny's BBQ</t>
  </si>
  <si>
    <t>Unilever dba The Ice Cream Shop</t>
  </si>
  <si>
    <t>Wayback Burgers</t>
  </si>
  <si>
    <t>Jack in the Box</t>
  </si>
  <si>
    <t>WingHouse Bar &amp; Grill</t>
  </si>
  <si>
    <t>On The Border</t>
  </si>
  <si>
    <t>Veggie Grill, Inc.</t>
  </si>
  <si>
    <t>Lime Fresh Mexican Grill</t>
  </si>
  <si>
    <t>Taco Mac</t>
  </si>
  <si>
    <t>P.F. Chang's China Bistro</t>
  </si>
  <si>
    <t>Ike's Love &amp; Sandwiches</t>
  </si>
  <si>
    <t>Subway</t>
  </si>
  <si>
    <t>America's Best Wings</t>
  </si>
  <si>
    <t>American Deli</t>
  </si>
  <si>
    <t>Dairy Queen</t>
  </si>
  <si>
    <t>Teriyaki Madness</t>
  </si>
  <si>
    <t>Burger King</t>
  </si>
  <si>
    <t>Boston Market</t>
  </si>
  <si>
    <t>Norms Restaurant’s, LLC</t>
  </si>
  <si>
    <t>Garden Catering</t>
  </si>
  <si>
    <t>Panda Express</t>
  </si>
  <si>
    <t>Charleys Philly Steaks</t>
  </si>
  <si>
    <t>Shark's Fish &amp; Chicken</t>
  </si>
  <si>
    <t>Golden Chick</t>
  </si>
  <si>
    <t>Arby's</t>
  </si>
  <si>
    <t>Uno Pizzeria &amp; Grill</t>
  </si>
  <si>
    <t>Wienerschnitzel</t>
  </si>
  <si>
    <t>Perkins &amp; Marie Callender's, LLC.</t>
  </si>
  <si>
    <t>Pick Up Stix</t>
  </si>
  <si>
    <t>Black Walnut Cafe</t>
  </si>
  <si>
    <t>WaWa</t>
  </si>
  <si>
    <t>McAlister's Deli</t>
  </si>
  <si>
    <t>WaBa Grill Franchise Corp.</t>
  </si>
  <si>
    <t>BURGERIM</t>
  </si>
  <si>
    <t>Nation's Foodservice, Inc.</t>
  </si>
  <si>
    <t>Bru’s Room Sports Grill</t>
  </si>
  <si>
    <t>Velvet Taco</t>
  </si>
  <si>
    <t>Hooters</t>
  </si>
  <si>
    <t>The Original Brooklyn Water Bagel Co.</t>
  </si>
  <si>
    <t>KFC</t>
  </si>
  <si>
    <t>DICED</t>
  </si>
  <si>
    <t>Buffalo Wild Wings</t>
  </si>
  <si>
    <t>Famous Dave's Barbeque</t>
  </si>
  <si>
    <t>Bareburger</t>
  </si>
  <si>
    <t>Cold Stone Creamery</t>
  </si>
  <si>
    <t>Salem's Fresh Eats</t>
  </si>
  <si>
    <t>Olive Garden</t>
  </si>
  <si>
    <t>Gator's Dockside</t>
  </si>
  <si>
    <t>Tender Greens</t>
  </si>
  <si>
    <t>Zaxby's</t>
  </si>
  <si>
    <t>RAM International I, LLC</t>
  </si>
  <si>
    <t>The Halal Guys Inc.</t>
  </si>
  <si>
    <t>Bento Cafe</t>
  </si>
  <si>
    <t>Huey Magoos</t>
  </si>
  <si>
    <t>Marco's Pizza</t>
  </si>
  <si>
    <t>Kelly's Roast Beef Inc.- Boston</t>
  </si>
  <si>
    <t>Outback Steakhouse</t>
  </si>
  <si>
    <t>Chick-fil-A</t>
  </si>
  <si>
    <t>Hattie B's</t>
  </si>
  <si>
    <t>Church's Chicken</t>
  </si>
  <si>
    <t>Muscle Maker Brands, LLC</t>
  </si>
  <si>
    <t>Haagen Dazs Shop</t>
  </si>
  <si>
    <t>by Chloe, part of ESquared</t>
  </si>
  <si>
    <t>Pita Jungle</t>
  </si>
  <si>
    <t>FIC Restaurants LLC.</t>
  </si>
  <si>
    <t>Native Grill &amp; Wings</t>
  </si>
  <si>
    <t>Pizza Boli's</t>
  </si>
  <si>
    <t>Dos Toros</t>
  </si>
  <si>
    <t>Poke Bar</t>
  </si>
  <si>
    <t>Houlihan's</t>
  </si>
  <si>
    <t>Denny's</t>
  </si>
  <si>
    <t>The Original Pancake House</t>
  </si>
  <si>
    <t>Schlotzsky's</t>
  </si>
  <si>
    <t>Jet’s America</t>
  </si>
  <si>
    <t>Texas Chicken &amp; Burgers</t>
  </si>
  <si>
    <t>&amp;pizza</t>
  </si>
  <si>
    <t>Pura Vida Parent</t>
  </si>
  <si>
    <t>Campero USA Corp.</t>
  </si>
  <si>
    <t>Golden Krust Franchising, Inc.</t>
  </si>
  <si>
    <t>Taqueria Los Comales</t>
  </si>
  <si>
    <t>Crown Fried Chicken</t>
  </si>
  <si>
    <t>Krystal</t>
  </si>
  <si>
    <t>Applebee's</t>
  </si>
  <si>
    <t>Hungry Howie's Pizza</t>
  </si>
  <si>
    <t>Filibertos Mexican Food</t>
  </si>
  <si>
    <t>Chicken Express</t>
  </si>
  <si>
    <t>Carrot Express</t>
  </si>
  <si>
    <t>Jamba Juice</t>
  </si>
  <si>
    <t>Hurricane Grill &amp; Wings</t>
  </si>
  <si>
    <t>Harold's Chicken Shack</t>
  </si>
  <si>
    <t>Wingstop</t>
  </si>
  <si>
    <t>White Castle</t>
  </si>
  <si>
    <t>Toppers Pizza Inc.</t>
  </si>
  <si>
    <t>Capriotti's Sandwich Shop</t>
  </si>
  <si>
    <t>Rubio's Restaurants</t>
  </si>
  <si>
    <t>Krispy Kreme</t>
  </si>
  <si>
    <t>Kennedy Fried Chicken</t>
  </si>
  <si>
    <t>El Pollo Loco, Inc.</t>
  </si>
  <si>
    <t>Farmer Boys</t>
  </si>
  <si>
    <t>Kung Fu Tea</t>
  </si>
  <si>
    <t>Bolay</t>
  </si>
  <si>
    <t>ZaLat Inc.</t>
  </si>
  <si>
    <t>Taco Bueno Restaurants</t>
  </si>
  <si>
    <t>Fuzzy's Taco Shop</t>
  </si>
  <si>
    <t>Sonic</t>
  </si>
  <si>
    <t>Fat Shack America, LLC</t>
  </si>
  <si>
    <t>IHOP</t>
  </si>
  <si>
    <t>Steak 'n Shake</t>
  </si>
  <si>
    <t>Ciccio Restaurant Group</t>
  </si>
  <si>
    <t>Robertos Taco Shop</t>
  </si>
  <si>
    <t>BurgerFi</t>
  </si>
  <si>
    <t>Chicken Kitchen</t>
  </si>
  <si>
    <t>Papa Murphy's</t>
  </si>
  <si>
    <t>Latin Cafe 2000</t>
  </si>
  <si>
    <t>Tijuana Flats Restaurants LLC</t>
  </si>
  <si>
    <t>Chickie's &amp; Pete's</t>
  </si>
  <si>
    <t>Total Population</t>
  </si>
  <si>
    <t>8.7 million</t>
  </si>
  <si>
    <t>Age Demographics:</t>
  </si>
  <si>
    <t xml:space="preserve">Age </t>
  </si>
  <si>
    <t>%</t>
  </si>
  <si>
    <t>0 - 17: 23%</t>
  </si>
  <si>
    <t>18 - 24: 15%</t>
  </si>
  <si>
    <t>25 - 34: 33%</t>
  </si>
  <si>
    <t>35 - 64: 19%</t>
  </si>
  <si>
    <t>65+: 10%</t>
  </si>
  <si>
    <t>Occupation Demographics:</t>
  </si>
  <si>
    <t>Occupation</t>
  </si>
  <si>
    <t>Children (U18): 23%</t>
  </si>
  <si>
    <t>Post-Secondary Students: 18%</t>
  </si>
  <si>
    <t>Employed (Full Time): 30%</t>
  </si>
  <si>
    <t>Employed (Part Time): 16%</t>
  </si>
  <si>
    <t>Unemployed / Stay-at-Home Parents: 5%</t>
  </si>
  <si>
    <t>Retired: 8%</t>
  </si>
  <si>
    <t>Suburban / Urban (% of population)</t>
  </si>
  <si>
    <t>Suburban / Urban</t>
  </si>
  <si>
    <t>Suburban 39%:</t>
  </si>
  <si>
    <t>Suburban</t>
  </si>
  <si>
    <t>Urban 61%:</t>
  </si>
  <si>
    <t>Urban</t>
  </si>
  <si>
    <t>Market Share of Online Food Delivery (% of Orders)</t>
  </si>
  <si>
    <t>Market Share of Online Food Delivery</t>
  </si>
  <si>
    <t>Uber Eats: 18%</t>
  </si>
  <si>
    <t>Competitor: 82%</t>
  </si>
  <si>
    <t>Time in Market:</t>
  </si>
  <si>
    <t>Company</t>
  </si>
  <si>
    <t>Time</t>
  </si>
  <si>
    <t>Uber Eats: 6 months</t>
  </si>
  <si>
    <t>Competitor: 24 Months</t>
  </si>
  <si>
    <t>Scoring Model</t>
  </si>
  <si>
    <t>Points</t>
  </si>
  <si>
    <t>Formula</t>
  </si>
  <si>
    <t>Logic</t>
  </si>
  <si>
    <t>Total Points</t>
  </si>
  <si>
    <t>Volume + Ops + Economis = Total Score</t>
  </si>
  <si>
    <t>Volume</t>
  </si>
  <si>
    <t>PercentRank * Points</t>
  </si>
  <si>
    <t>High Volume indicates higher opportunity</t>
  </si>
  <si>
    <t>Operational Quality</t>
  </si>
  <si>
    <t>Wait Time Score + Defect Score</t>
  </si>
  <si>
    <t>Wait Time</t>
  </si>
  <si>
    <t>1-PercentRank * Points</t>
  </si>
  <si>
    <t>Lower Wait Time means better operational quality</t>
  </si>
  <si>
    <t>Defect</t>
  </si>
  <si>
    <t>Lower Defect Rate means better operational quality</t>
  </si>
  <si>
    <t>Economics</t>
  </si>
  <si>
    <t xml:space="preserve">Higher Basket * Fee results in more revenue </t>
  </si>
  <si>
    <t>Fee Inputs</t>
  </si>
  <si>
    <t>Fee Change (Default) (Min 10% Max 30%)</t>
  </si>
  <si>
    <t>S-tier volume lift</t>
  </si>
  <si>
    <t>Reward top preformers, grow them</t>
  </si>
  <si>
    <t>A-tier volume lift</t>
  </si>
  <si>
    <t>slight incentive to maintain quality</t>
  </si>
  <si>
    <t>B-tier volume loss</t>
  </si>
  <si>
    <t xml:space="preserve">pay more or improve to move up </t>
  </si>
  <si>
    <t>C-tier volume loss</t>
  </si>
  <si>
    <t>Extract value or exit (capped at 30%)</t>
  </si>
  <si>
    <t>Volume Lift</t>
  </si>
  <si>
    <t>Feed Optimization top placement drives orders</t>
  </si>
  <si>
    <t>Feed Optimization top placement better placement than current on average</t>
  </si>
  <si>
    <t>Feed deprioritization + merchant pushback</t>
  </si>
  <si>
    <t>Feed deprioritization + some churn</t>
  </si>
  <si>
    <t>Calculated_JD Merchant Scoring Model</t>
  </si>
  <si>
    <t xml:space="preserve">Caluclated_JD Fee Optimization </t>
  </si>
  <si>
    <t>Type</t>
  </si>
  <si>
    <t>Rev / Order (Helper)</t>
  </si>
  <si>
    <t>Volume Score</t>
  </si>
  <si>
    <t>Wait Time Score</t>
  </si>
  <si>
    <t>Defect Score</t>
  </si>
  <si>
    <t>Quality Score Total</t>
  </si>
  <si>
    <t>Econ Score</t>
  </si>
  <si>
    <t>Total Score</t>
  </si>
  <si>
    <t>Rank</t>
  </si>
  <si>
    <t>Tier</t>
  </si>
  <si>
    <t>Current Rev</t>
  </si>
  <si>
    <t>Target Fee</t>
  </si>
  <si>
    <t>Fee Change</t>
  </si>
  <si>
    <t xml:space="preserve">New Trips </t>
  </si>
  <si>
    <t>New Rev / Order</t>
  </si>
  <si>
    <t>New Revenue</t>
  </si>
  <si>
    <t>Revenue Delta</t>
  </si>
  <si>
    <t>Est Revenue</t>
  </si>
  <si>
    <t>% of Total Trips</t>
  </si>
  <si>
    <t>Cumulative Sum</t>
  </si>
  <si>
    <t>Resturant 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</si>
</sst>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0.0%"/>
    <numFmt numFmtId="166" formatCode="#,##0.0"/>
    <numFmt numFmtId="167" formatCode="&quot;$&quot;#,##0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Montserrat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0" fontId="2" numFmtId="3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10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9" xfId="0" applyFont="1" applyNumberFormat="1"/>
    <xf borderId="0" fillId="0" fontId="4" numFmtId="9" xfId="0" applyAlignment="1" applyFont="1" applyNumberFormat="1">
      <alignment readingOrder="0"/>
    </xf>
    <xf borderId="0" fillId="3" fontId="4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0" fillId="3" fontId="4" numFmtId="9" xfId="0" applyAlignment="1" applyFont="1" applyNumberFormat="1">
      <alignment readingOrder="0"/>
    </xf>
    <xf borderId="0" fillId="3" fontId="4" numFmtId="165" xfId="0" applyAlignment="1" applyFont="1" applyNumberFormat="1">
      <alignment readingOrder="0"/>
    </xf>
    <xf borderId="0" fillId="3" fontId="4" numFmtId="0" xfId="0" applyAlignment="1" applyFon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5" fontId="4" numFmtId="0" xfId="0" applyAlignment="1" applyFont="1">
      <alignment horizontal="center" readingOrder="0"/>
    </xf>
    <xf borderId="0" fillId="6" fontId="4" numFmtId="0" xfId="0" applyAlignment="1" applyFill="1" applyFont="1">
      <alignment readingOrder="0"/>
    </xf>
    <xf borderId="0" fillId="7" fontId="4" numFmtId="0" xfId="0" applyAlignment="1" applyFill="1" applyFont="1">
      <alignment readingOrder="0"/>
    </xf>
    <xf borderId="0" fillId="8" fontId="4" numFmtId="0" xfId="0" applyAlignment="1" applyFill="1" applyFont="1">
      <alignment readingOrder="0"/>
    </xf>
    <xf borderId="0" fillId="9" fontId="4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3" fontId="3" numFmtId="0" xfId="0" applyAlignment="1" applyFont="1">
      <alignment readingOrder="0"/>
    </xf>
    <xf borderId="0" fillId="0" fontId="4" numFmtId="166" xfId="0" applyFont="1" applyNumberFormat="1"/>
    <xf borderId="0" fillId="0" fontId="4" numFmtId="164" xfId="0" applyFont="1" applyNumberFormat="1"/>
    <xf borderId="0" fillId="0" fontId="4" numFmtId="3" xfId="0" applyFont="1" applyNumberFormat="1"/>
    <xf borderId="0" fillId="0" fontId="4" numFmtId="3" xfId="0" applyAlignment="1" applyFont="1" applyNumberFormat="1">
      <alignment readingOrder="0"/>
    </xf>
    <xf borderId="0" fillId="0" fontId="4" numFmtId="167" xfId="0" applyFont="1" applyNumberFormat="1"/>
    <xf borderId="0" fillId="0" fontId="4" numFmtId="10" xfId="0" applyFont="1" applyNumberFormat="1"/>
    <xf borderId="0" fillId="0" fontId="5" numFmtId="164" xfId="0" applyAlignment="1" applyFont="1" applyNumberFormat="1">
      <alignment horizontal="center" vertical="center"/>
    </xf>
    <xf borderId="0" fillId="0" fontId="5" numFmtId="9" xfId="0" applyFont="1" applyNumberForma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Merchant Volume Concentration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strRef>
              <c:f>'Viz Resturant Brands Scoring Mo'!$B$1</c:f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A376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0A376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00A376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00A376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00A376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00A376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00A376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00A376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00A376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00A376"/>
              </a:solidFill>
              <a:ln cmpd="sng">
                <a:solidFill>
                  <a:srgbClr val="000000"/>
                </a:solidFill>
              </a:ln>
            </c:spPr>
          </c:dPt>
          <c:dPt>
            <c:idx val="24"/>
          </c:dPt>
          <c:cat>
            <c:strRef>
              <c:f>'Viz Resturant Brands Scoring Mo'!$N$2:$N$1000</c:f>
            </c:strRef>
          </c:cat>
          <c:val>
            <c:numRef>
              <c:f>'Viz Resturant Brands Scoring Mo'!$B$2:$B$1000</c:f>
              <c:numCache/>
            </c:numRef>
          </c:val>
        </c:ser>
        <c:axId val="1921286651"/>
        <c:axId val="1547241473"/>
      </c:barChart>
      <c:catAx>
        <c:axId val="19212866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Merchants Ranked by Volume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7241473"/>
      </c:catAx>
      <c:valAx>
        <c:axId val="15472414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Annualized Trips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21286651"/>
      </c:valAx>
      <c:lineChart>
        <c:varyColors val="0"/>
        <c:ser>
          <c:idx val="0"/>
          <c:order val="0"/>
          <c:tx>
            <c:strRef>
              <c:f>'Viz Resturant Brands Scoring Mo'!$M$1</c:f>
            </c:strRef>
          </c:tx>
          <c:spPr>
            <a:ln cmpd="sng">
              <a:solidFill>
                <a:srgbClr val="162328">
                  <a:alpha val="100000"/>
                </a:srgbClr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89"/>
            <c:marker>
              <c:symbol val="none"/>
            </c:marker>
          </c:dPt>
          <c:dPt>
            <c:idx val="92"/>
            <c:marker>
              <c:symbol val="none"/>
            </c:marker>
          </c:dPt>
          <c:cat>
            <c:strRef>
              <c:f>'Viz Resturant Brands Scoring Mo'!$N$2:$N$1000</c:f>
            </c:strRef>
          </c:cat>
          <c:val>
            <c:numRef>
              <c:f>'Viz Resturant Brands Scoring Mo'!$M$2:$M$1000</c:f>
              <c:numCache/>
            </c:numRef>
          </c:val>
          <c:smooth val="1"/>
        </c:ser>
        <c:axId val="2003753848"/>
        <c:axId val="1439958573"/>
      </c:lineChart>
      <c:catAx>
        <c:axId val="2003753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9958573"/>
      </c:catAx>
      <c:valAx>
        <c:axId val="143995857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Cumulative Percent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0375384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152400</xdr:colOff>
      <xdr:row>1</xdr:row>
      <xdr:rowOff>28575</xdr:rowOff>
    </xdr:from>
    <xdr:ext cx="6096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3" width="14.38"/>
    <col customWidth="1" min="4" max="4" width="13.38"/>
    <col customWidth="1" min="5" max="6" width="14.25"/>
    <col customWidth="1" min="7" max="7" width="16.75"/>
    <col customWidth="1" min="8" max="8" width="26.75"/>
    <col customWidth="1" min="9" max="9" width="16.25"/>
    <col customWidth="1" min="10" max="10" width="23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ht="15.75" customHeight="1">
      <c r="A2" s="3" t="s">
        <v>10</v>
      </c>
      <c r="B2" s="4">
        <v>1068012.0</v>
      </c>
      <c r="C2" s="5">
        <v>482.0</v>
      </c>
      <c r="D2" s="5">
        <v>753.0</v>
      </c>
      <c r="E2" s="6">
        <v>0.69</v>
      </c>
      <c r="F2" s="7">
        <v>16.8</v>
      </c>
      <c r="G2" s="6">
        <v>0.25</v>
      </c>
      <c r="H2" s="8">
        <v>0.0468</v>
      </c>
      <c r="I2" s="8">
        <v>0.028940038949999997</v>
      </c>
      <c r="J2" s="9">
        <v>7.0</v>
      </c>
    </row>
    <row r="3" ht="15.75" customHeight="1">
      <c r="A3" s="3" t="s">
        <v>11</v>
      </c>
      <c r="B3" s="4">
        <v>1018080.0</v>
      </c>
      <c r="C3" s="5">
        <v>556.0</v>
      </c>
      <c r="D3" s="5">
        <v>783.0</v>
      </c>
      <c r="E3" s="6">
        <v>0.96</v>
      </c>
      <c r="F3" s="7">
        <v>18.5</v>
      </c>
      <c r="G3" s="6">
        <v>0.17</v>
      </c>
      <c r="H3" s="8">
        <v>0.0652</v>
      </c>
      <c r="I3" s="8">
        <v>0.027053131565999998</v>
      </c>
      <c r="J3" s="9">
        <v>4.0</v>
      </c>
    </row>
    <row r="4" ht="15.75" customHeight="1">
      <c r="A4" s="3" t="s">
        <v>12</v>
      </c>
      <c r="B4" s="4">
        <v>775008.0</v>
      </c>
      <c r="C4" s="5">
        <v>388.0</v>
      </c>
      <c r="D4" s="5">
        <v>668.0</v>
      </c>
      <c r="E4" s="6">
        <v>0.23</v>
      </c>
      <c r="F4" s="7">
        <v>22.4</v>
      </c>
      <c r="G4" s="6">
        <v>0.3</v>
      </c>
      <c r="H4" s="8">
        <v>0.0736</v>
      </c>
      <c r="I4" s="8">
        <v>0.029747821626</v>
      </c>
      <c r="J4" s="9">
        <v>45.0</v>
      </c>
    </row>
    <row r="5" ht="15.75" customHeight="1">
      <c r="A5" s="3" t="s">
        <v>13</v>
      </c>
      <c r="B5" s="4">
        <v>264384.0</v>
      </c>
      <c r="C5" s="5">
        <v>299.0</v>
      </c>
      <c r="D5" s="5">
        <v>320.0</v>
      </c>
      <c r="E5" s="6">
        <v>0.56</v>
      </c>
      <c r="F5" s="7">
        <v>26.0</v>
      </c>
      <c r="G5" s="6">
        <v>0.28</v>
      </c>
      <c r="H5" s="8">
        <v>0.048</v>
      </c>
      <c r="I5" s="8">
        <v>0.029179747818</v>
      </c>
      <c r="J5" s="9">
        <v>21.0</v>
      </c>
    </row>
    <row r="6" ht="15.75" customHeight="1">
      <c r="A6" s="3" t="s">
        <v>14</v>
      </c>
      <c r="B6" s="4">
        <v>238560.0</v>
      </c>
      <c r="C6" s="5">
        <v>82.0</v>
      </c>
      <c r="D6" s="5">
        <v>191.0</v>
      </c>
      <c r="E6" s="6">
        <v>0.22</v>
      </c>
      <c r="F6" s="7">
        <v>21.7</v>
      </c>
      <c r="G6" s="6">
        <v>0.25</v>
      </c>
      <c r="H6" s="8">
        <v>0.0452</v>
      </c>
      <c r="I6" s="8">
        <v>0.017983438116</v>
      </c>
      <c r="J6" s="9">
        <v>5.0</v>
      </c>
    </row>
    <row r="7" ht="15.75" customHeight="1">
      <c r="A7" s="3" t="s">
        <v>15</v>
      </c>
      <c r="B7" s="4">
        <v>226872.0</v>
      </c>
      <c r="C7" s="5">
        <v>53.0</v>
      </c>
      <c r="D7" s="5">
        <v>58.0</v>
      </c>
      <c r="E7" s="6">
        <v>0.76</v>
      </c>
      <c r="F7" s="7">
        <v>16.6</v>
      </c>
      <c r="G7" s="6">
        <v>0.26</v>
      </c>
      <c r="H7" s="8">
        <v>0.0412</v>
      </c>
      <c r="I7" s="8">
        <v>0.016135534386</v>
      </c>
      <c r="J7" s="9">
        <v>5.0</v>
      </c>
    </row>
    <row r="8" ht="15.75" customHeight="1">
      <c r="A8" s="3" t="s">
        <v>16</v>
      </c>
      <c r="B8" s="4">
        <v>224136.0</v>
      </c>
      <c r="C8" s="5">
        <v>42.0</v>
      </c>
      <c r="D8" s="5">
        <v>86.0</v>
      </c>
      <c r="E8" s="6">
        <v>0.27</v>
      </c>
      <c r="F8" s="7">
        <v>16.0</v>
      </c>
      <c r="G8" s="6">
        <v>0.3</v>
      </c>
      <c r="H8" s="8">
        <v>0.07</v>
      </c>
      <c r="I8" s="8">
        <v>0.01671272658</v>
      </c>
      <c r="J8" s="9">
        <v>14.0</v>
      </c>
    </row>
    <row r="9" ht="15.75" customHeight="1">
      <c r="A9" s="3" t="s">
        <v>17</v>
      </c>
      <c r="B9" s="4">
        <v>221760.0</v>
      </c>
      <c r="C9" s="5">
        <v>72.0</v>
      </c>
      <c r="D9" s="5">
        <v>300.0</v>
      </c>
      <c r="E9" s="6">
        <v>0.37</v>
      </c>
      <c r="F9" s="7">
        <v>15.1</v>
      </c>
      <c r="G9" s="6">
        <v>0.24</v>
      </c>
      <c r="H9" s="8">
        <v>0.0604</v>
      </c>
      <c r="I9" s="8">
        <v>0.014803598087999999</v>
      </c>
      <c r="J9" s="9">
        <v>28.0</v>
      </c>
    </row>
    <row r="10" ht="15.75" customHeight="1">
      <c r="A10" s="3" t="s">
        <v>18</v>
      </c>
      <c r="B10" s="4">
        <v>216372.0</v>
      </c>
      <c r="C10" s="5">
        <v>93.0</v>
      </c>
      <c r="D10" s="5">
        <v>930.0</v>
      </c>
      <c r="E10" s="6">
        <v>0.55</v>
      </c>
      <c r="F10" s="7">
        <v>19.8</v>
      </c>
      <c r="G10" s="6">
        <v>0.26</v>
      </c>
      <c r="H10" s="8">
        <v>0.0892</v>
      </c>
      <c r="I10" s="8">
        <v>0.014041634688</v>
      </c>
      <c r="J10" s="9">
        <v>13.0</v>
      </c>
    </row>
    <row r="11" ht="15.75" customHeight="1">
      <c r="A11" s="3" t="s">
        <v>19</v>
      </c>
      <c r="B11" s="4">
        <v>215280.0</v>
      </c>
      <c r="C11" s="5">
        <v>41.0</v>
      </c>
      <c r="D11" s="5">
        <v>216.0</v>
      </c>
      <c r="E11" s="6">
        <v>0.93</v>
      </c>
      <c r="F11" s="7">
        <v>17.4</v>
      </c>
      <c r="G11" s="6">
        <v>0.25</v>
      </c>
      <c r="H11" s="8">
        <v>0.0756</v>
      </c>
      <c r="I11" s="8">
        <v>0.01434146691</v>
      </c>
      <c r="J11" s="9">
        <v>37.0</v>
      </c>
    </row>
    <row r="12" ht="15.75" customHeight="1">
      <c r="A12" s="3" t="s">
        <v>20</v>
      </c>
      <c r="B12" s="4">
        <v>211200.0</v>
      </c>
      <c r="C12" s="5">
        <v>38.0</v>
      </c>
      <c r="D12" s="5">
        <v>46.0</v>
      </c>
      <c r="E12" s="6">
        <v>0.68</v>
      </c>
      <c r="F12" s="7">
        <v>21.4</v>
      </c>
      <c r="G12" s="6">
        <v>0.24</v>
      </c>
      <c r="H12" s="8">
        <v>0.0336</v>
      </c>
      <c r="I12" s="8">
        <v>0.013798988556</v>
      </c>
      <c r="J12" s="9">
        <v>3.0</v>
      </c>
    </row>
    <row r="13" ht="15.75" customHeight="1">
      <c r="A13" s="3" t="s">
        <v>21</v>
      </c>
      <c r="B13" s="4">
        <v>209760.0</v>
      </c>
      <c r="C13" s="5">
        <v>98.0</v>
      </c>
      <c r="D13" s="5">
        <v>184.0</v>
      </c>
      <c r="E13" s="6">
        <v>0.59</v>
      </c>
      <c r="F13" s="7">
        <v>25.4</v>
      </c>
      <c r="G13" s="6">
        <v>0.3</v>
      </c>
      <c r="H13" s="8">
        <v>0.0868</v>
      </c>
      <c r="I13" s="8">
        <v>0.031642305042</v>
      </c>
      <c r="J13" s="9">
        <v>34.0</v>
      </c>
    </row>
    <row r="14" ht="15.75" customHeight="1">
      <c r="A14" s="3" t="s">
        <v>22</v>
      </c>
      <c r="B14" s="4">
        <v>209088.0</v>
      </c>
      <c r="C14" s="5">
        <v>42.0</v>
      </c>
      <c r="D14" s="5">
        <v>86.0</v>
      </c>
      <c r="E14" s="6">
        <v>0.99</v>
      </c>
      <c r="F14" s="7">
        <v>20.6</v>
      </c>
      <c r="G14" s="6">
        <v>0.29</v>
      </c>
      <c r="H14" s="8">
        <v>0.0368</v>
      </c>
      <c r="I14" s="8">
        <v>0.034377075756</v>
      </c>
      <c r="J14" s="9">
        <v>10.0</v>
      </c>
    </row>
    <row r="15" ht="15.75" customHeight="1">
      <c r="A15" s="3" t="s">
        <v>23</v>
      </c>
      <c r="B15" s="4">
        <v>209040.0</v>
      </c>
      <c r="C15" s="5">
        <v>41.0</v>
      </c>
      <c r="D15" s="5">
        <v>103.0</v>
      </c>
      <c r="E15" s="6">
        <v>0.28</v>
      </c>
      <c r="F15" s="7">
        <v>34.4</v>
      </c>
      <c r="G15" s="6">
        <v>0.25</v>
      </c>
      <c r="H15" s="8">
        <v>0.1328</v>
      </c>
      <c r="I15" s="8">
        <v>0.031960196466</v>
      </c>
      <c r="J15" s="9">
        <v>24.0</v>
      </c>
    </row>
    <row r="16" ht="15.75" customHeight="1">
      <c r="A16" s="3" t="s">
        <v>24</v>
      </c>
      <c r="B16" s="4">
        <v>183120.0</v>
      </c>
      <c r="C16" s="5">
        <v>65.0</v>
      </c>
      <c r="D16" s="5">
        <v>73.0</v>
      </c>
      <c r="E16" s="6">
        <v>0.46</v>
      </c>
      <c r="F16" s="7">
        <v>20.2</v>
      </c>
      <c r="G16" s="6">
        <v>0.27</v>
      </c>
      <c r="H16" s="8">
        <v>0.0912</v>
      </c>
      <c r="I16" s="8">
        <v>0.032994187794</v>
      </c>
      <c r="J16" s="9">
        <v>20.0</v>
      </c>
    </row>
    <row r="17" ht="15.75" customHeight="1">
      <c r="A17" s="3" t="s">
        <v>25</v>
      </c>
      <c r="B17" s="4">
        <v>173052.0</v>
      </c>
      <c r="C17" s="5">
        <v>51.0</v>
      </c>
      <c r="D17" s="5">
        <v>204.0</v>
      </c>
      <c r="E17" s="6">
        <v>0.84</v>
      </c>
      <c r="F17" s="7">
        <v>13.7</v>
      </c>
      <c r="G17" s="6">
        <v>0.3</v>
      </c>
      <c r="H17" s="8">
        <v>0.0692</v>
      </c>
      <c r="I17" s="8">
        <v>0.014296290474</v>
      </c>
      <c r="J17" s="9">
        <v>18.0</v>
      </c>
    </row>
    <row r="18" ht="15.75" customHeight="1">
      <c r="A18" s="3" t="s">
        <v>26</v>
      </c>
      <c r="B18" s="4">
        <v>170448.0</v>
      </c>
      <c r="C18" s="5">
        <v>43.0</v>
      </c>
      <c r="D18" s="5">
        <v>74.0</v>
      </c>
      <c r="E18" s="6">
        <v>0.49</v>
      </c>
      <c r="F18" s="7">
        <v>21.6</v>
      </c>
      <c r="G18" s="6">
        <v>0.3</v>
      </c>
      <c r="H18" s="8">
        <v>0.09</v>
      </c>
      <c r="I18" s="8">
        <v>0.023684085233999997</v>
      </c>
      <c r="J18" s="9">
        <v>25.0</v>
      </c>
    </row>
    <row r="19" ht="15.75" customHeight="1">
      <c r="A19" s="3" t="s">
        <v>27</v>
      </c>
      <c r="B19" s="4">
        <v>165396.0</v>
      </c>
      <c r="C19" s="5">
        <v>143.0</v>
      </c>
      <c r="D19" s="5">
        <v>318.0</v>
      </c>
      <c r="E19" s="6">
        <v>0.56</v>
      </c>
      <c r="F19" s="7">
        <v>21.7</v>
      </c>
      <c r="G19" s="6">
        <v>0.3</v>
      </c>
      <c r="H19" s="8">
        <v>0.0512</v>
      </c>
      <c r="I19" s="8">
        <v>0.024804924635999998</v>
      </c>
      <c r="J19" s="9">
        <v>17.0</v>
      </c>
    </row>
    <row r="20" ht="15.75" customHeight="1">
      <c r="A20" s="3" t="s">
        <v>28</v>
      </c>
      <c r="B20" s="4">
        <v>161568.0</v>
      </c>
      <c r="C20" s="5">
        <v>90.0</v>
      </c>
      <c r="D20" s="5">
        <v>126.0</v>
      </c>
      <c r="E20" s="6">
        <v>0.35</v>
      </c>
      <c r="F20" s="7">
        <v>22.1</v>
      </c>
      <c r="G20" s="6">
        <v>0.23</v>
      </c>
      <c r="H20" s="8">
        <v>0.0864</v>
      </c>
      <c r="I20" s="8">
        <v>0.023886064002</v>
      </c>
      <c r="J20" s="9">
        <v>5.0</v>
      </c>
    </row>
    <row r="21" ht="15.75" customHeight="1">
      <c r="A21" s="3" t="s">
        <v>29</v>
      </c>
      <c r="B21" s="4">
        <v>155220.0</v>
      </c>
      <c r="C21" s="5">
        <v>40.0</v>
      </c>
      <c r="D21" s="5">
        <v>80.0</v>
      </c>
      <c r="E21" s="6">
        <v>0.95</v>
      </c>
      <c r="F21" s="7">
        <v>17.9</v>
      </c>
      <c r="G21" s="6">
        <v>0.26</v>
      </c>
      <c r="H21" s="8">
        <v>0.0312</v>
      </c>
      <c r="I21" s="8">
        <v>0.022966624692</v>
      </c>
      <c r="J21" s="9">
        <v>6.0</v>
      </c>
    </row>
    <row r="22" ht="15.75" customHeight="1">
      <c r="A22" s="3" t="s">
        <v>30</v>
      </c>
      <c r="B22" s="4">
        <v>149760.0</v>
      </c>
      <c r="C22" s="5">
        <v>37.0</v>
      </c>
      <c r="D22" s="5">
        <v>58.0</v>
      </c>
      <c r="E22" s="6">
        <v>0.28</v>
      </c>
      <c r="F22" s="7">
        <v>22.0</v>
      </c>
      <c r="G22" s="6">
        <v>0.3</v>
      </c>
      <c r="H22" s="8">
        <v>0.0836</v>
      </c>
      <c r="I22" s="8">
        <v>0.021695328684</v>
      </c>
      <c r="J22" s="9">
        <v>9.0</v>
      </c>
    </row>
    <row r="23" ht="15.75" customHeight="1">
      <c r="A23" s="3" t="s">
        <v>31</v>
      </c>
      <c r="B23" s="4">
        <v>148800.0</v>
      </c>
      <c r="C23" s="5">
        <v>190.0</v>
      </c>
      <c r="D23" s="5">
        <v>1188.0</v>
      </c>
      <c r="E23" s="6">
        <v>0.4</v>
      </c>
      <c r="F23" s="7">
        <v>19.8</v>
      </c>
      <c r="G23" s="6">
        <v>0.26</v>
      </c>
      <c r="H23" s="8">
        <v>0.0456</v>
      </c>
      <c r="I23" s="8">
        <v>0.022888125528</v>
      </c>
      <c r="J23" s="9">
        <v>8.0</v>
      </c>
    </row>
    <row r="24" ht="15.75" customHeight="1">
      <c r="A24" s="3" t="s">
        <v>32</v>
      </c>
      <c r="B24" s="4">
        <v>145392.0</v>
      </c>
      <c r="C24" s="5">
        <v>27.0</v>
      </c>
      <c r="D24" s="5">
        <v>34.0</v>
      </c>
      <c r="E24" s="6">
        <v>0.34</v>
      </c>
      <c r="F24" s="7">
        <v>26.4</v>
      </c>
      <c r="G24" s="6">
        <v>0.26</v>
      </c>
      <c r="H24" s="8">
        <v>0.0848</v>
      </c>
      <c r="I24" s="8">
        <v>0.023045459118</v>
      </c>
      <c r="J24" s="9">
        <v>9.0</v>
      </c>
    </row>
    <row r="25" ht="15.75" customHeight="1">
      <c r="A25" s="3" t="s">
        <v>33</v>
      </c>
      <c r="B25" s="4">
        <v>138528.0</v>
      </c>
      <c r="C25" s="5">
        <v>27.0</v>
      </c>
      <c r="D25" s="5">
        <v>38.0</v>
      </c>
      <c r="E25" s="6">
        <v>0.47</v>
      </c>
      <c r="F25" s="7">
        <v>16.2</v>
      </c>
      <c r="G25" s="6">
        <v>0.22</v>
      </c>
      <c r="H25" s="8">
        <v>0.0832</v>
      </c>
      <c r="I25" s="8">
        <v>0.022515171078</v>
      </c>
      <c r="J25" s="9">
        <v>5.0</v>
      </c>
    </row>
    <row r="26" ht="15.75" customHeight="1">
      <c r="A26" s="3" t="s">
        <v>34</v>
      </c>
      <c r="B26" s="4">
        <v>134400.0</v>
      </c>
      <c r="C26" s="5">
        <v>19.0</v>
      </c>
      <c r="D26" s="5">
        <v>51.0</v>
      </c>
      <c r="E26" s="6">
        <v>0.59</v>
      </c>
      <c r="F26" s="7">
        <v>18.0</v>
      </c>
      <c r="G26" s="6">
        <v>0.3</v>
      </c>
      <c r="H26" s="8">
        <v>0.086</v>
      </c>
      <c r="I26" s="8">
        <v>0.032553005784</v>
      </c>
      <c r="J26" s="9">
        <v>55.0</v>
      </c>
    </row>
    <row r="27" ht="15.75" customHeight="1">
      <c r="A27" s="3" t="s">
        <v>35</v>
      </c>
      <c r="B27" s="4">
        <v>132432.0</v>
      </c>
      <c r="C27" s="5">
        <v>33.0</v>
      </c>
      <c r="D27" s="5">
        <v>79.0</v>
      </c>
      <c r="E27" s="6">
        <v>0.76</v>
      </c>
      <c r="F27" s="7">
        <v>16.4</v>
      </c>
      <c r="G27" s="6">
        <v>0.24</v>
      </c>
      <c r="H27" s="8">
        <v>0.0908</v>
      </c>
      <c r="I27" s="8">
        <v>0.032513974662</v>
      </c>
      <c r="J27" s="9">
        <v>3.0</v>
      </c>
    </row>
    <row r="28" ht="15.75" customHeight="1">
      <c r="A28" s="3" t="s">
        <v>36</v>
      </c>
      <c r="B28" s="4">
        <v>130464.0</v>
      </c>
      <c r="C28" s="5">
        <v>86.0</v>
      </c>
      <c r="D28" s="5">
        <v>112.0</v>
      </c>
      <c r="E28" s="6">
        <v>0.14</v>
      </c>
      <c r="F28" s="7">
        <v>19.1</v>
      </c>
      <c r="G28" s="6">
        <v>0.3</v>
      </c>
      <c r="H28" s="8">
        <v>0.0448</v>
      </c>
      <c r="I28" s="8">
        <v>0.033518878775999995</v>
      </c>
      <c r="J28" s="9">
        <v>14.0</v>
      </c>
    </row>
    <row r="29" ht="15.75" customHeight="1">
      <c r="A29" s="3" t="s">
        <v>37</v>
      </c>
      <c r="B29" s="4">
        <v>128640.0</v>
      </c>
      <c r="C29" s="5">
        <v>19.0</v>
      </c>
      <c r="D29" s="5">
        <v>41.0</v>
      </c>
      <c r="E29" s="6">
        <v>0.16</v>
      </c>
      <c r="F29" s="7">
        <v>18.4</v>
      </c>
      <c r="G29" s="6">
        <v>0.24</v>
      </c>
      <c r="H29" s="8">
        <v>0.0552</v>
      </c>
      <c r="I29" s="8">
        <v>0.021084184061999998</v>
      </c>
      <c r="J29" s="9">
        <v>7.0</v>
      </c>
    </row>
    <row r="30" ht="15.75" customHeight="1">
      <c r="A30" s="3" t="s">
        <v>38</v>
      </c>
      <c r="B30" s="4">
        <v>123000.0</v>
      </c>
      <c r="C30" s="5">
        <v>22.0</v>
      </c>
      <c r="D30" s="5">
        <v>26.0</v>
      </c>
      <c r="E30" s="6">
        <v>0.8</v>
      </c>
      <c r="F30" s="7">
        <v>16.0</v>
      </c>
      <c r="G30" s="6">
        <v>0.3</v>
      </c>
      <c r="H30" s="8">
        <v>0.0864</v>
      </c>
      <c r="I30" s="8">
        <v>0.029173719629999997</v>
      </c>
      <c r="J30" s="9">
        <v>25.0</v>
      </c>
    </row>
    <row r="31" ht="15.75" customHeight="1">
      <c r="A31" s="3" t="s">
        <v>39</v>
      </c>
      <c r="B31" s="4">
        <v>121680.0</v>
      </c>
      <c r="C31" s="5">
        <v>19.0</v>
      </c>
      <c r="D31" s="5">
        <v>33.0</v>
      </c>
      <c r="E31" s="6">
        <v>1.0</v>
      </c>
      <c r="F31" s="7">
        <v>19.1</v>
      </c>
      <c r="G31" s="6">
        <v>0.26</v>
      </c>
      <c r="H31" s="8">
        <v>0.0324</v>
      </c>
      <c r="I31" s="8">
        <v>0.031311133704</v>
      </c>
      <c r="J31" s="9">
        <v>9.0</v>
      </c>
    </row>
    <row r="32" ht="15.75" customHeight="1">
      <c r="A32" s="3" t="s">
        <v>40</v>
      </c>
      <c r="B32" s="4">
        <v>121128.0</v>
      </c>
      <c r="C32" s="5">
        <v>22.0</v>
      </c>
      <c r="D32" s="5">
        <v>84.0</v>
      </c>
      <c r="E32" s="6">
        <v>0.9</v>
      </c>
      <c r="F32" s="7">
        <v>16.1</v>
      </c>
      <c r="G32" s="6">
        <v>0.3</v>
      </c>
      <c r="H32" s="8">
        <v>0.1008</v>
      </c>
      <c r="I32" s="8">
        <v>0.029824533198</v>
      </c>
      <c r="J32" s="9">
        <v>11.0</v>
      </c>
    </row>
    <row r="33" ht="15.75" customHeight="1">
      <c r="A33" s="3" t="s">
        <v>41</v>
      </c>
      <c r="B33" s="4">
        <v>120960.0</v>
      </c>
      <c r="C33" s="5">
        <v>21.0</v>
      </c>
      <c r="D33" s="5">
        <v>24.0</v>
      </c>
      <c r="E33" s="6">
        <v>0.06</v>
      </c>
      <c r="F33" s="7">
        <v>19.7</v>
      </c>
      <c r="G33" s="6">
        <v>0.3</v>
      </c>
      <c r="H33" s="8">
        <v>0.072</v>
      </c>
      <c r="I33" s="8">
        <v>0.011183486538</v>
      </c>
      <c r="J33" s="9">
        <v>94.0</v>
      </c>
    </row>
    <row r="34" ht="15.75" customHeight="1">
      <c r="A34" s="3" t="s">
        <v>42</v>
      </c>
      <c r="B34" s="4">
        <v>120684.0</v>
      </c>
      <c r="C34" s="5">
        <v>198.0</v>
      </c>
      <c r="D34" s="5">
        <v>276.0</v>
      </c>
      <c r="E34" s="6">
        <v>0.2</v>
      </c>
      <c r="F34" s="7">
        <v>22.2</v>
      </c>
      <c r="G34" s="6">
        <v>0.28</v>
      </c>
      <c r="H34" s="8">
        <v>0.0748</v>
      </c>
      <c r="I34" s="8">
        <v>0.03031432218</v>
      </c>
      <c r="J34" s="9">
        <v>50.0</v>
      </c>
    </row>
    <row r="35" ht="15.75" customHeight="1">
      <c r="A35" s="3" t="s">
        <v>43</v>
      </c>
      <c r="B35" s="4">
        <v>116280.0</v>
      </c>
      <c r="C35" s="5">
        <v>24.0</v>
      </c>
      <c r="D35" s="5">
        <v>31.0</v>
      </c>
      <c r="E35" s="6">
        <v>0.01</v>
      </c>
      <c r="F35" s="7">
        <v>26.7</v>
      </c>
      <c r="G35" s="6">
        <v>0.25</v>
      </c>
      <c r="H35" s="8">
        <v>0.07</v>
      </c>
      <c r="I35" s="8">
        <v>0.011679280217999998</v>
      </c>
      <c r="J35" s="9">
        <v>11.0</v>
      </c>
    </row>
    <row r="36" ht="15.75" customHeight="1">
      <c r="A36" s="3" t="s">
        <v>44</v>
      </c>
      <c r="B36" s="4">
        <v>112320.0</v>
      </c>
      <c r="C36" s="5">
        <v>30.0</v>
      </c>
      <c r="D36" s="5">
        <v>39.0</v>
      </c>
      <c r="E36" s="6">
        <v>0.31</v>
      </c>
      <c r="F36" s="7">
        <v>16.8</v>
      </c>
      <c r="G36" s="6">
        <v>0.24</v>
      </c>
      <c r="H36" s="8">
        <v>0.0624</v>
      </c>
      <c r="I36" s="8">
        <v>0.027053363556</v>
      </c>
      <c r="J36" s="9">
        <v>8.0</v>
      </c>
    </row>
    <row r="37" ht="15.75" customHeight="1">
      <c r="A37" s="3" t="s">
        <v>45</v>
      </c>
      <c r="B37" s="4">
        <v>109536.0</v>
      </c>
      <c r="C37" s="5">
        <v>27.0</v>
      </c>
      <c r="D37" s="5">
        <v>100.0</v>
      </c>
      <c r="E37" s="6">
        <v>0.14</v>
      </c>
      <c r="F37" s="7">
        <v>24.4</v>
      </c>
      <c r="G37" s="6">
        <v>0.3</v>
      </c>
      <c r="H37" s="8">
        <v>0.0528</v>
      </c>
      <c r="I37" s="8">
        <v>0.011488447794</v>
      </c>
      <c r="J37" s="9">
        <v>4.0</v>
      </c>
    </row>
    <row r="38" ht="15.75" customHeight="1">
      <c r="A38" s="3" t="s">
        <v>46</v>
      </c>
      <c r="B38" s="4">
        <v>109020.0</v>
      </c>
      <c r="C38" s="5">
        <v>157.0</v>
      </c>
      <c r="D38" s="5">
        <v>219.0</v>
      </c>
      <c r="E38" s="6">
        <v>0.08</v>
      </c>
      <c r="F38" s="7">
        <v>15.4</v>
      </c>
      <c r="G38" s="6">
        <v>0.3</v>
      </c>
      <c r="H38" s="8">
        <v>0.042</v>
      </c>
      <c r="I38" s="8">
        <v>0.011844926532</v>
      </c>
      <c r="J38" s="9">
        <v>5.0</v>
      </c>
    </row>
    <row r="39" ht="15.75" customHeight="1">
      <c r="A39" s="3" t="s">
        <v>47</v>
      </c>
      <c r="B39" s="4">
        <v>108192.0</v>
      </c>
      <c r="C39" s="5">
        <v>22.0</v>
      </c>
      <c r="D39" s="5">
        <v>42.0</v>
      </c>
      <c r="E39" s="6">
        <v>0.23</v>
      </c>
      <c r="F39" s="7">
        <v>17.9</v>
      </c>
      <c r="G39" s="6">
        <v>0.3</v>
      </c>
      <c r="H39" s="8">
        <v>0.0612</v>
      </c>
      <c r="I39" s="8">
        <v>0.019565217389999997</v>
      </c>
      <c r="J39" s="9">
        <v>4.0</v>
      </c>
    </row>
    <row r="40" ht="15.75" customHeight="1">
      <c r="A40" s="3" t="s">
        <v>48</v>
      </c>
      <c r="B40" s="4">
        <v>104832.0</v>
      </c>
      <c r="C40" s="5">
        <v>144.0</v>
      </c>
      <c r="D40" s="5">
        <v>203.0</v>
      </c>
      <c r="E40" s="6">
        <v>0.36</v>
      </c>
      <c r="F40" s="7">
        <v>16.0</v>
      </c>
      <c r="G40" s="6">
        <v>0.3</v>
      </c>
      <c r="H40" s="8">
        <v>0.0324</v>
      </c>
      <c r="I40" s="8">
        <v>0.029515631321999997</v>
      </c>
      <c r="J40" s="9">
        <v>6.0</v>
      </c>
    </row>
    <row r="41" ht="15.75" customHeight="1">
      <c r="A41" s="3" t="s">
        <v>49</v>
      </c>
      <c r="B41" s="4">
        <v>103812.0</v>
      </c>
      <c r="C41" s="5">
        <v>19.0</v>
      </c>
      <c r="D41" s="5">
        <v>37.0</v>
      </c>
      <c r="E41" s="6">
        <v>0.18</v>
      </c>
      <c r="F41" s="7">
        <v>26.4</v>
      </c>
      <c r="G41" s="6">
        <v>0.3</v>
      </c>
      <c r="H41" s="8">
        <v>0.0516</v>
      </c>
      <c r="I41" s="8">
        <v>0.027197779596</v>
      </c>
      <c r="J41" s="9">
        <v>7.0</v>
      </c>
    </row>
    <row r="42" ht="15.75" customHeight="1">
      <c r="A42" s="3" t="s">
        <v>50</v>
      </c>
      <c r="B42" s="4">
        <v>101676.0</v>
      </c>
      <c r="C42" s="5">
        <v>18.0</v>
      </c>
      <c r="D42" s="5">
        <v>82.0</v>
      </c>
      <c r="E42" s="6">
        <v>0.59</v>
      </c>
      <c r="F42" s="7">
        <v>25.0</v>
      </c>
      <c r="G42" s="6">
        <v>0.3</v>
      </c>
      <c r="H42" s="8">
        <v>0.0848</v>
      </c>
      <c r="I42" s="8">
        <v>0.019617585204</v>
      </c>
      <c r="J42" s="9">
        <v>19.0</v>
      </c>
    </row>
    <row r="43" ht="15.75" customHeight="1">
      <c r="A43" s="3" t="s">
        <v>51</v>
      </c>
      <c r="B43" s="4">
        <v>99120.0</v>
      </c>
      <c r="C43" s="5">
        <v>58.0</v>
      </c>
      <c r="D43" s="5">
        <v>276.0</v>
      </c>
      <c r="E43" s="6">
        <v>0.95</v>
      </c>
      <c r="F43" s="7">
        <v>28.0</v>
      </c>
      <c r="G43" s="6">
        <v>0.3</v>
      </c>
      <c r="H43" s="8">
        <v>0.018</v>
      </c>
      <c r="I43" s="8">
        <v>0.028815283572</v>
      </c>
      <c r="J43" s="9">
        <v>6.0</v>
      </c>
    </row>
    <row r="44" ht="15.75" customHeight="1">
      <c r="A44" s="3" t="s">
        <v>52</v>
      </c>
      <c r="B44" s="4">
        <v>96696.0</v>
      </c>
      <c r="C44" s="5">
        <v>23.0</v>
      </c>
      <c r="D44" s="5">
        <v>34.0</v>
      </c>
      <c r="E44" s="6">
        <v>0.99</v>
      </c>
      <c r="F44" s="7">
        <v>14.5</v>
      </c>
      <c r="G44" s="6">
        <v>0.3</v>
      </c>
      <c r="H44" s="8">
        <v>0.0536</v>
      </c>
      <c r="I44" s="8">
        <v>0.019952900946</v>
      </c>
      <c r="J44" s="9">
        <v>39.0</v>
      </c>
    </row>
    <row r="45" ht="15.75" customHeight="1">
      <c r="A45" s="3" t="s">
        <v>53</v>
      </c>
      <c r="B45" s="4">
        <v>94392.0</v>
      </c>
      <c r="C45" s="5">
        <v>47.0</v>
      </c>
      <c r="D45" s="5">
        <v>78.0</v>
      </c>
      <c r="E45" s="6">
        <v>0.47</v>
      </c>
      <c r="F45" s="7">
        <v>17.6</v>
      </c>
      <c r="G45" s="6">
        <v>0.29</v>
      </c>
      <c r="H45" s="8">
        <v>0.0608</v>
      </c>
      <c r="I45" s="8">
        <v>0.026806339482</v>
      </c>
      <c r="J45" s="9">
        <v>20.0</v>
      </c>
    </row>
    <row r="46" ht="15.75" customHeight="1">
      <c r="A46" s="3" t="s">
        <v>54</v>
      </c>
      <c r="B46" s="4">
        <v>89832.0</v>
      </c>
      <c r="C46" s="5">
        <v>18.0</v>
      </c>
      <c r="D46" s="5">
        <v>82.0</v>
      </c>
      <c r="E46" s="6">
        <v>0.29</v>
      </c>
      <c r="F46" s="7">
        <v>18.5</v>
      </c>
      <c r="G46" s="6">
        <v>0.3</v>
      </c>
      <c r="H46" s="8">
        <v>0.0316</v>
      </c>
      <c r="I46" s="8">
        <v>0.023753315844000002</v>
      </c>
      <c r="J46" s="9">
        <v>4.0</v>
      </c>
    </row>
    <row r="47" ht="15.75" customHeight="1">
      <c r="A47" s="3" t="s">
        <v>55</v>
      </c>
      <c r="B47" s="4">
        <v>89628.0</v>
      </c>
      <c r="C47" s="5">
        <v>123.0</v>
      </c>
      <c r="D47" s="5">
        <v>724.0</v>
      </c>
      <c r="E47" s="6">
        <v>0.75</v>
      </c>
      <c r="F47" s="7">
        <v>17.6</v>
      </c>
      <c r="G47" s="6">
        <v>0.26</v>
      </c>
      <c r="H47" s="8">
        <v>0.0112</v>
      </c>
      <c r="I47" s="8">
        <v>0.025741895964</v>
      </c>
      <c r="J47" s="9">
        <v>8.0</v>
      </c>
    </row>
    <row r="48" ht="15.75" customHeight="1">
      <c r="A48" s="3" t="s">
        <v>56</v>
      </c>
      <c r="B48" s="4">
        <v>89400.0</v>
      </c>
      <c r="C48" s="5">
        <v>22.0</v>
      </c>
      <c r="D48" s="5">
        <v>37.0</v>
      </c>
      <c r="E48" s="6">
        <v>0.14</v>
      </c>
      <c r="F48" s="7">
        <v>23.7</v>
      </c>
      <c r="G48" s="6">
        <v>0.26</v>
      </c>
      <c r="H48" s="8">
        <v>0.0312</v>
      </c>
      <c r="I48" s="8">
        <v>0.023479059324</v>
      </c>
      <c r="J48" s="9">
        <v>4.0</v>
      </c>
    </row>
    <row r="49" ht="15.75" customHeight="1">
      <c r="A49" s="3" t="s">
        <v>57</v>
      </c>
      <c r="B49" s="4">
        <v>88608.0</v>
      </c>
      <c r="C49" s="5">
        <v>26.0</v>
      </c>
      <c r="D49" s="5">
        <v>30.0</v>
      </c>
      <c r="E49" s="6">
        <v>0.55</v>
      </c>
      <c r="F49" s="7">
        <v>15.6</v>
      </c>
      <c r="G49" s="6">
        <v>0.3</v>
      </c>
      <c r="H49" s="8">
        <v>0.0344</v>
      </c>
      <c r="I49" s="8">
        <v>0.024423862997999996</v>
      </c>
      <c r="J49" s="9">
        <v>6.0</v>
      </c>
    </row>
    <row r="50" ht="15.75" customHeight="1">
      <c r="A50" s="3" t="s">
        <v>58</v>
      </c>
      <c r="B50" s="4">
        <v>85968.0</v>
      </c>
      <c r="C50" s="5">
        <v>18.0</v>
      </c>
      <c r="D50" s="5">
        <v>21.0</v>
      </c>
      <c r="E50" s="6">
        <v>0.83</v>
      </c>
      <c r="F50" s="7">
        <v>21.6</v>
      </c>
      <c r="G50" s="6">
        <v>0.21</v>
      </c>
      <c r="H50" s="8">
        <v>0.0324</v>
      </c>
      <c r="I50" s="8">
        <v>0.017626891242</v>
      </c>
      <c r="J50" s="9">
        <v>5.0</v>
      </c>
    </row>
    <row r="51" ht="15.75" customHeight="1">
      <c r="A51" s="3" t="s">
        <v>59</v>
      </c>
      <c r="B51" s="4">
        <v>84000.0</v>
      </c>
      <c r="C51" s="5">
        <v>19.0</v>
      </c>
      <c r="D51" s="5">
        <v>76.0</v>
      </c>
      <c r="E51" s="6">
        <v>0.39</v>
      </c>
      <c r="F51" s="7">
        <v>17.6</v>
      </c>
      <c r="G51" s="6">
        <v>0.26</v>
      </c>
      <c r="H51" s="8">
        <v>0.122</v>
      </c>
      <c r="I51" s="8">
        <v>0.016294016004</v>
      </c>
      <c r="J51" s="9">
        <v>41.0</v>
      </c>
    </row>
    <row r="52" ht="15.75" customHeight="1">
      <c r="A52" s="3" t="s">
        <v>60</v>
      </c>
      <c r="B52" s="4">
        <v>83808.0</v>
      </c>
      <c r="C52" s="5">
        <v>18.0</v>
      </c>
      <c r="D52" s="5">
        <v>26.0</v>
      </c>
      <c r="E52" s="6">
        <v>0.62</v>
      </c>
      <c r="F52" s="7">
        <v>14.2</v>
      </c>
      <c r="G52" s="6">
        <v>0.29</v>
      </c>
      <c r="H52" s="8">
        <v>0.0512</v>
      </c>
      <c r="I52" s="8">
        <v>0.016465429769999998</v>
      </c>
      <c r="J52" s="9">
        <v>4.0</v>
      </c>
    </row>
    <row r="53" ht="15.75" customHeight="1">
      <c r="A53" s="3" t="s">
        <v>61</v>
      </c>
      <c r="B53" s="4">
        <v>83496.0</v>
      </c>
      <c r="C53" s="5">
        <v>82.0</v>
      </c>
      <c r="D53" s="5">
        <v>174.0</v>
      </c>
      <c r="E53" s="6">
        <v>0.23</v>
      </c>
      <c r="F53" s="7">
        <v>15.5</v>
      </c>
      <c r="G53" s="6">
        <v>0.3</v>
      </c>
      <c r="H53" s="8">
        <v>0.0488</v>
      </c>
      <c r="I53" s="8">
        <v>0.016134078617999998</v>
      </c>
      <c r="J53" s="9">
        <v>6.0</v>
      </c>
    </row>
    <row r="54" ht="15.75" customHeight="1">
      <c r="A54" s="3" t="s">
        <v>62</v>
      </c>
      <c r="B54" s="4">
        <v>82716.0</v>
      </c>
      <c r="C54" s="5">
        <v>33.0</v>
      </c>
      <c r="D54" s="5">
        <v>60.0</v>
      </c>
      <c r="E54" s="6">
        <v>0.09</v>
      </c>
      <c r="F54" s="7">
        <v>33.6</v>
      </c>
      <c r="G54" s="6">
        <v>0.26</v>
      </c>
      <c r="H54" s="8">
        <v>0.0464</v>
      </c>
      <c r="I54" s="8">
        <v>0.015748709124</v>
      </c>
      <c r="J54" s="9">
        <v>4.0</v>
      </c>
    </row>
    <row r="55" ht="15.75" customHeight="1">
      <c r="A55" s="3" t="s">
        <v>63</v>
      </c>
      <c r="B55" s="4">
        <v>78336.0</v>
      </c>
      <c r="C55" s="5">
        <v>17.0</v>
      </c>
      <c r="D55" s="5">
        <v>24.0</v>
      </c>
      <c r="E55" s="6">
        <v>0.5</v>
      </c>
      <c r="F55" s="7">
        <v>26.0</v>
      </c>
      <c r="G55" s="6">
        <v>0.25</v>
      </c>
      <c r="H55" s="8">
        <v>0.0592</v>
      </c>
      <c r="I55" s="8">
        <v>0.019840299114</v>
      </c>
      <c r="J55" s="9">
        <v>6.0</v>
      </c>
    </row>
    <row r="56" ht="15.75" customHeight="1">
      <c r="A56" s="3" t="s">
        <v>64</v>
      </c>
      <c r="B56" s="4">
        <v>77112.0</v>
      </c>
      <c r="C56" s="5">
        <v>19.0</v>
      </c>
      <c r="D56" s="5">
        <v>119.0</v>
      </c>
      <c r="E56" s="6">
        <v>0.79</v>
      </c>
      <c r="F56" s="7">
        <v>19.2</v>
      </c>
      <c r="G56" s="6">
        <v>0.11</v>
      </c>
      <c r="H56" s="8">
        <v>0.0756</v>
      </c>
      <c r="I56" s="8">
        <v>0.026130762611999998</v>
      </c>
      <c r="J56" s="9">
        <v>40.0</v>
      </c>
    </row>
    <row r="57" ht="15.75" customHeight="1">
      <c r="A57" s="3" t="s">
        <v>65</v>
      </c>
      <c r="B57" s="4">
        <v>76800.0</v>
      </c>
      <c r="C57" s="5">
        <v>183.0</v>
      </c>
      <c r="D57" s="5">
        <v>654.0</v>
      </c>
      <c r="E57" s="6">
        <v>1.0</v>
      </c>
      <c r="F57" s="7">
        <v>14.1</v>
      </c>
      <c r="G57" s="6">
        <v>0.3</v>
      </c>
      <c r="H57" s="8">
        <v>0.0784</v>
      </c>
      <c r="I57" s="8">
        <v>0.028999404816</v>
      </c>
      <c r="J57" s="9">
        <v>10.0</v>
      </c>
    </row>
    <row r="58" ht="15.75" customHeight="1">
      <c r="A58" s="3" t="s">
        <v>66</v>
      </c>
      <c r="B58" s="4">
        <v>76752.0</v>
      </c>
      <c r="C58" s="5">
        <v>17.0</v>
      </c>
      <c r="D58" s="5">
        <v>27.0</v>
      </c>
      <c r="E58" s="6">
        <v>0.61</v>
      </c>
      <c r="F58" s="7">
        <v>13.6</v>
      </c>
      <c r="G58" s="6">
        <v>0.27</v>
      </c>
      <c r="H58" s="8">
        <v>0.0952</v>
      </c>
      <c r="I58" s="8">
        <v>0.020171367521999998</v>
      </c>
      <c r="J58" s="9">
        <v>21.0</v>
      </c>
    </row>
    <row r="59" ht="15.75" customHeight="1">
      <c r="A59" s="3" t="s">
        <v>67</v>
      </c>
      <c r="B59" s="4">
        <v>76632.0</v>
      </c>
      <c r="C59" s="5">
        <v>17.0</v>
      </c>
      <c r="D59" s="5">
        <v>49.0</v>
      </c>
      <c r="E59" s="6">
        <v>0.23</v>
      </c>
      <c r="F59" s="7">
        <v>27.2</v>
      </c>
      <c r="G59" s="6">
        <v>0.29</v>
      </c>
      <c r="H59" s="8">
        <v>0.288</v>
      </c>
      <c r="I59" s="8">
        <v>0.023688228750000002</v>
      </c>
      <c r="J59" s="9">
        <v>5.0</v>
      </c>
    </row>
    <row r="60" ht="15.75" customHeight="1">
      <c r="A60" s="3" t="s">
        <v>68</v>
      </c>
      <c r="B60" s="4">
        <v>76464.0</v>
      </c>
      <c r="C60" s="5">
        <v>30.0</v>
      </c>
      <c r="D60" s="5">
        <v>67.0</v>
      </c>
      <c r="E60" s="6">
        <v>0.62</v>
      </c>
      <c r="F60" s="7">
        <v>28.0</v>
      </c>
      <c r="G60" s="6">
        <v>0.3</v>
      </c>
      <c r="H60" s="8">
        <v>0.0296</v>
      </c>
      <c r="I60" s="8">
        <v>0.012617242164</v>
      </c>
      <c r="J60" s="9">
        <v>8.0</v>
      </c>
    </row>
    <row r="61" ht="15.75" customHeight="1">
      <c r="A61" s="3" t="s">
        <v>69</v>
      </c>
      <c r="B61" s="4">
        <v>74976.0</v>
      </c>
      <c r="C61" s="5">
        <v>81.0</v>
      </c>
      <c r="D61" s="5">
        <v>232.0</v>
      </c>
      <c r="E61" s="6">
        <v>0.8</v>
      </c>
      <c r="F61" s="7">
        <v>18.0</v>
      </c>
      <c r="G61" s="6">
        <v>0.27</v>
      </c>
      <c r="H61" s="8">
        <v>0.0408</v>
      </c>
      <c r="I61" s="8">
        <v>0.019511749614</v>
      </c>
      <c r="J61" s="9">
        <v>3.0</v>
      </c>
    </row>
    <row r="62" ht="15.75" customHeight="1">
      <c r="A62" s="3" t="s">
        <v>70</v>
      </c>
      <c r="B62" s="4">
        <v>72576.0</v>
      </c>
      <c r="C62" s="5">
        <v>16.0</v>
      </c>
      <c r="D62" s="5">
        <v>40.0</v>
      </c>
      <c r="E62" s="6">
        <v>0.55</v>
      </c>
      <c r="F62" s="7">
        <v>25.2</v>
      </c>
      <c r="G62" s="6">
        <v>0.27</v>
      </c>
      <c r="H62" s="8">
        <v>0.078</v>
      </c>
      <c r="I62" s="8">
        <v>0.0157546917</v>
      </c>
      <c r="J62" s="9">
        <v>11.0</v>
      </c>
    </row>
    <row r="63" ht="15.75" customHeight="1">
      <c r="A63" s="3" t="s">
        <v>71</v>
      </c>
      <c r="B63" s="4">
        <v>70224.0</v>
      </c>
      <c r="C63" s="5">
        <v>111.0</v>
      </c>
      <c r="D63" s="5">
        <v>326.0</v>
      </c>
      <c r="E63" s="6">
        <v>0.96</v>
      </c>
      <c r="F63" s="7">
        <v>34.1</v>
      </c>
      <c r="G63" s="6">
        <v>0.3</v>
      </c>
      <c r="H63" s="8">
        <v>0.0716</v>
      </c>
      <c r="I63" s="8">
        <v>0.027939903102</v>
      </c>
      <c r="J63" s="9">
        <v>8.0</v>
      </c>
    </row>
    <row r="64" ht="15.75" customHeight="1">
      <c r="A64" s="3" t="s">
        <v>72</v>
      </c>
      <c r="B64" s="4">
        <v>69960.0</v>
      </c>
      <c r="C64" s="5">
        <v>27.0</v>
      </c>
      <c r="D64" s="5">
        <v>75.0</v>
      </c>
      <c r="E64" s="6">
        <v>0.36</v>
      </c>
      <c r="F64" s="7">
        <v>14.7</v>
      </c>
      <c r="G64" s="6">
        <v>0.28</v>
      </c>
      <c r="H64" s="8">
        <v>0.0348</v>
      </c>
      <c r="I64" s="8">
        <v>0.016269380142</v>
      </c>
      <c r="J64" s="9">
        <v>22.0</v>
      </c>
    </row>
    <row r="65" ht="15.75" customHeight="1">
      <c r="A65" s="3" t="s">
        <v>73</v>
      </c>
      <c r="B65" s="4">
        <v>67944.0</v>
      </c>
      <c r="C65" s="5">
        <v>13.0</v>
      </c>
      <c r="D65" s="5">
        <v>36.0</v>
      </c>
      <c r="E65" s="6">
        <v>0.09</v>
      </c>
      <c r="F65" s="7">
        <v>24.7</v>
      </c>
      <c r="G65" s="6">
        <v>0.29</v>
      </c>
      <c r="H65" s="8">
        <v>0.0304</v>
      </c>
      <c r="I65" s="8">
        <v>0.018732973206</v>
      </c>
      <c r="J65" s="9">
        <v>12.0</v>
      </c>
    </row>
    <row r="66" ht="15.75" customHeight="1">
      <c r="A66" s="3" t="s">
        <v>74</v>
      </c>
      <c r="B66" s="4">
        <v>67596.0</v>
      </c>
      <c r="C66" s="5">
        <v>21.0</v>
      </c>
      <c r="D66" s="5">
        <v>51.0</v>
      </c>
      <c r="E66" s="6">
        <v>0.28</v>
      </c>
      <c r="F66" s="7">
        <v>19.2</v>
      </c>
      <c r="G66" s="6">
        <v>0.3</v>
      </c>
      <c r="H66" s="8">
        <v>0.084</v>
      </c>
      <c r="I66" s="8">
        <v>0.01256964207</v>
      </c>
      <c r="J66" s="9">
        <v>6.0</v>
      </c>
    </row>
    <row r="67" ht="15.75" customHeight="1">
      <c r="A67" s="3" t="s">
        <v>75</v>
      </c>
      <c r="B67" s="4">
        <v>65832.0</v>
      </c>
      <c r="C67" s="5">
        <v>17.0</v>
      </c>
      <c r="D67" s="5">
        <v>25.0</v>
      </c>
      <c r="E67" s="6">
        <v>1.0</v>
      </c>
      <c r="F67" s="7">
        <v>19.1</v>
      </c>
      <c r="G67" s="6">
        <v>0.29</v>
      </c>
      <c r="H67" s="8">
        <v>0.0948</v>
      </c>
      <c r="I67" s="8">
        <v>0.022868976857999997</v>
      </c>
      <c r="J67" s="9">
        <v>27.0</v>
      </c>
    </row>
    <row r="68" ht="15.75" customHeight="1">
      <c r="A68" s="3" t="s">
        <v>76</v>
      </c>
      <c r="B68" s="4">
        <v>58608.0</v>
      </c>
      <c r="C68" s="5">
        <v>18.0</v>
      </c>
      <c r="D68" s="5">
        <v>28.0</v>
      </c>
      <c r="E68" s="6">
        <v>0.1</v>
      </c>
      <c r="F68" s="7">
        <v>23.7</v>
      </c>
      <c r="G68" s="6">
        <v>0.3</v>
      </c>
      <c r="H68" s="8">
        <v>0.0824</v>
      </c>
      <c r="I68" s="8">
        <v>0.024168784884</v>
      </c>
      <c r="J68" s="9">
        <v>13.0</v>
      </c>
    </row>
    <row r="69" ht="15.75" customHeight="1">
      <c r="A69" s="3" t="s">
        <v>77</v>
      </c>
      <c r="B69" s="4">
        <v>58536.0</v>
      </c>
      <c r="C69" s="5">
        <v>12.0</v>
      </c>
      <c r="D69" s="5">
        <v>15.0</v>
      </c>
      <c r="E69" s="6">
        <v>0.38</v>
      </c>
      <c r="F69" s="7">
        <v>14.2</v>
      </c>
      <c r="G69" s="6">
        <v>0.27</v>
      </c>
      <c r="H69" s="8">
        <v>0.0376</v>
      </c>
      <c r="I69" s="8">
        <v>0.026526744047999998</v>
      </c>
      <c r="J69" s="9">
        <v>6.0</v>
      </c>
    </row>
    <row r="70" ht="15.75" customHeight="1">
      <c r="A70" s="3" t="s">
        <v>78</v>
      </c>
      <c r="B70" s="4">
        <v>58320.0</v>
      </c>
      <c r="C70" s="5">
        <v>30.0</v>
      </c>
      <c r="D70" s="5">
        <v>49.0</v>
      </c>
      <c r="E70" s="6">
        <v>0.29</v>
      </c>
      <c r="F70" s="7">
        <v>25.3</v>
      </c>
      <c r="G70" s="6">
        <v>0.24</v>
      </c>
      <c r="H70" s="8">
        <v>0.0696</v>
      </c>
      <c r="I70" s="8">
        <v>0.02586708498</v>
      </c>
      <c r="J70" s="9">
        <v>14.0</v>
      </c>
    </row>
    <row r="71" ht="15.75" customHeight="1">
      <c r="A71" s="3" t="s">
        <v>79</v>
      </c>
      <c r="B71" s="4">
        <v>57408.0</v>
      </c>
      <c r="C71" s="5">
        <v>10.0</v>
      </c>
      <c r="D71" s="5">
        <v>30.0</v>
      </c>
      <c r="E71" s="6">
        <v>0.03</v>
      </c>
      <c r="F71" s="7">
        <v>28.3</v>
      </c>
      <c r="G71" s="6">
        <v>0.22</v>
      </c>
      <c r="H71" s="8">
        <v>0.028</v>
      </c>
      <c r="I71" s="8">
        <v>0.012935757</v>
      </c>
      <c r="J71" s="9">
        <v>16.0</v>
      </c>
    </row>
    <row r="72" ht="15.75" customHeight="1">
      <c r="A72" s="3" t="s">
        <v>80</v>
      </c>
      <c r="B72" s="4">
        <v>56940.0</v>
      </c>
      <c r="C72" s="5">
        <v>38.0</v>
      </c>
      <c r="D72" s="5">
        <v>181.0</v>
      </c>
      <c r="E72" s="6">
        <v>0.45</v>
      </c>
      <c r="F72" s="7">
        <v>22.2</v>
      </c>
      <c r="G72" s="6">
        <v>0.3</v>
      </c>
      <c r="H72" s="8">
        <v>0.0256</v>
      </c>
      <c r="I72" s="8">
        <v>0.015326756939999998</v>
      </c>
      <c r="J72" s="9">
        <v>6.0</v>
      </c>
    </row>
    <row r="73" ht="15.75" customHeight="1">
      <c r="A73" s="3" t="s">
        <v>81</v>
      </c>
      <c r="B73" s="4">
        <v>56544.0</v>
      </c>
      <c r="C73" s="5">
        <v>18.0</v>
      </c>
      <c r="D73" s="5">
        <v>86.0</v>
      </c>
      <c r="E73" s="6">
        <v>0.38</v>
      </c>
      <c r="F73" s="7">
        <v>18.9</v>
      </c>
      <c r="G73" s="6">
        <v>0.27</v>
      </c>
      <c r="H73" s="8">
        <v>0.214</v>
      </c>
      <c r="I73" s="8">
        <v>0.013790379677999998</v>
      </c>
      <c r="J73" s="9">
        <v>3.0</v>
      </c>
    </row>
    <row r="74" ht="15.75" customHeight="1">
      <c r="A74" s="3" t="s">
        <v>82</v>
      </c>
      <c r="B74" s="4">
        <v>55752.0</v>
      </c>
      <c r="C74" s="5">
        <v>15.0</v>
      </c>
      <c r="D74" s="5">
        <v>27.0</v>
      </c>
      <c r="E74" s="6">
        <v>0.71</v>
      </c>
      <c r="F74" s="7">
        <v>17.1</v>
      </c>
      <c r="G74" s="6">
        <v>0.27</v>
      </c>
      <c r="H74" s="8">
        <v>0.0464</v>
      </c>
      <c r="I74" s="8">
        <v>0.011904403152</v>
      </c>
      <c r="J74" s="9">
        <v>13.0</v>
      </c>
    </row>
    <row r="75" ht="15.75" customHeight="1">
      <c r="A75" s="3" t="s">
        <v>83</v>
      </c>
      <c r="B75" s="4">
        <v>55692.0</v>
      </c>
      <c r="C75" s="5">
        <v>11.0</v>
      </c>
      <c r="D75" s="5">
        <v>17.0</v>
      </c>
      <c r="E75" s="6">
        <v>0.17</v>
      </c>
      <c r="F75" s="7">
        <v>32.7</v>
      </c>
      <c r="G75" s="6">
        <v>0.18</v>
      </c>
      <c r="H75" s="8">
        <v>0.0596</v>
      </c>
      <c r="I75" s="8">
        <v>0.012022407353999998</v>
      </c>
      <c r="J75" s="9">
        <v>5.0</v>
      </c>
    </row>
    <row r="76" ht="15.75" customHeight="1">
      <c r="A76" s="3" t="s">
        <v>84</v>
      </c>
      <c r="B76" s="4">
        <v>54948.0</v>
      </c>
      <c r="C76" s="5">
        <v>12.0</v>
      </c>
      <c r="D76" s="5">
        <v>42.0</v>
      </c>
      <c r="E76" s="6">
        <v>0.18</v>
      </c>
      <c r="F76" s="7">
        <v>17.0</v>
      </c>
      <c r="G76" s="6">
        <v>0.28</v>
      </c>
      <c r="H76" s="8">
        <v>0.0</v>
      </c>
      <c r="I76" s="8">
        <v>0.012907827168</v>
      </c>
      <c r="J76" s="9">
        <v>3.0</v>
      </c>
    </row>
    <row r="77" ht="15.75" customHeight="1">
      <c r="A77" s="3" t="s">
        <v>85</v>
      </c>
      <c r="B77" s="4">
        <v>53436.0</v>
      </c>
      <c r="C77" s="5">
        <v>33.0</v>
      </c>
      <c r="D77" s="5">
        <v>37.0</v>
      </c>
      <c r="E77" s="6">
        <v>0.39</v>
      </c>
      <c r="F77" s="7">
        <v>16.3</v>
      </c>
      <c r="G77" s="6">
        <v>0.28</v>
      </c>
      <c r="H77" s="8">
        <v>0.036</v>
      </c>
      <c r="I77" s="8">
        <v>0.011468594736</v>
      </c>
      <c r="J77" s="9">
        <v>10.0</v>
      </c>
    </row>
    <row r="78" ht="15.75" customHeight="1">
      <c r="A78" s="3" t="s">
        <v>86</v>
      </c>
      <c r="B78" s="4">
        <v>52272.0</v>
      </c>
      <c r="C78" s="5">
        <v>12.0</v>
      </c>
      <c r="D78" s="5">
        <v>23.0</v>
      </c>
      <c r="E78" s="6">
        <v>0.86</v>
      </c>
      <c r="F78" s="7">
        <v>16.0</v>
      </c>
      <c r="G78" s="6">
        <v>0.3</v>
      </c>
      <c r="H78" s="8">
        <v>0.1344</v>
      </c>
      <c r="I78" s="8">
        <v>0.016060113666</v>
      </c>
      <c r="J78" s="9">
        <v>3.0</v>
      </c>
    </row>
    <row r="79" ht="15.75" customHeight="1">
      <c r="A79" s="3" t="s">
        <v>87</v>
      </c>
      <c r="B79" s="4">
        <v>52212.0</v>
      </c>
      <c r="C79" s="5">
        <v>12.0</v>
      </c>
      <c r="D79" s="5">
        <v>15.0</v>
      </c>
      <c r="E79" s="6">
        <v>1.0</v>
      </c>
      <c r="F79" s="7">
        <v>17.2</v>
      </c>
      <c r="G79" s="6">
        <v>0.3</v>
      </c>
      <c r="H79" s="8">
        <v>0.0244</v>
      </c>
      <c r="I79" s="8">
        <v>0.023641150110000002</v>
      </c>
      <c r="J79" s="9">
        <v>13.0</v>
      </c>
    </row>
    <row r="80" ht="15.75" customHeight="1">
      <c r="A80" s="3" t="s">
        <v>88</v>
      </c>
      <c r="B80" s="4">
        <v>51840.0</v>
      </c>
      <c r="C80" s="5">
        <v>14.0</v>
      </c>
      <c r="D80" s="5">
        <v>52.0</v>
      </c>
      <c r="E80" s="6">
        <v>0.77</v>
      </c>
      <c r="F80" s="7">
        <v>18.8</v>
      </c>
      <c r="G80" s="6">
        <v>0.24</v>
      </c>
      <c r="H80" s="8">
        <v>0.0644</v>
      </c>
      <c r="I80" s="8">
        <v>0.020626046256</v>
      </c>
      <c r="J80" s="9">
        <v>28.0</v>
      </c>
    </row>
    <row r="81" ht="15.75" customHeight="1">
      <c r="A81" s="3" t="s">
        <v>89</v>
      </c>
      <c r="B81" s="4">
        <v>48972.0</v>
      </c>
      <c r="C81" s="5">
        <v>101.0</v>
      </c>
      <c r="D81" s="5">
        <v>673.0</v>
      </c>
      <c r="E81" s="6">
        <v>0.16</v>
      </c>
      <c r="F81" s="7">
        <v>17.3</v>
      </c>
      <c r="G81" s="6">
        <v>0.27</v>
      </c>
      <c r="H81" s="8">
        <v>0.0708</v>
      </c>
      <c r="I81" s="8">
        <v>0.014174439636</v>
      </c>
      <c r="J81" s="9">
        <v>8.0</v>
      </c>
    </row>
    <row r="82" ht="15.75" customHeight="1">
      <c r="A82" s="3" t="s">
        <v>90</v>
      </c>
      <c r="B82" s="4">
        <v>47208.0</v>
      </c>
      <c r="C82" s="5">
        <v>9.0</v>
      </c>
      <c r="D82" s="5">
        <v>11.0</v>
      </c>
      <c r="E82" s="6">
        <v>0.99</v>
      </c>
      <c r="F82" s="7">
        <v>18.6</v>
      </c>
      <c r="G82" s="6">
        <v>0.29</v>
      </c>
      <c r="H82" s="8">
        <v>0.0668</v>
      </c>
      <c r="I82" s="8">
        <v>0.02245320474</v>
      </c>
      <c r="J82" s="9">
        <v>3.0</v>
      </c>
    </row>
    <row r="83" ht="15.75" customHeight="1">
      <c r="A83" s="3" t="s">
        <v>91</v>
      </c>
      <c r="B83" s="4">
        <v>46728.0</v>
      </c>
      <c r="C83" s="5">
        <v>29.0</v>
      </c>
      <c r="D83" s="5">
        <v>41.0</v>
      </c>
      <c r="E83" s="6">
        <v>0.08</v>
      </c>
      <c r="F83" s="7">
        <v>25.2</v>
      </c>
      <c r="G83" s="6">
        <v>0.3</v>
      </c>
      <c r="H83" s="8">
        <v>0.1172</v>
      </c>
      <c r="I83" s="8">
        <v>0.022276587546</v>
      </c>
      <c r="J83" s="9">
        <v>16.0</v>
      </c>
    </row>
    <row r="84" ht="15.75" customHeight="1">
      <c r="A84" s="3" t="s">
        <v>92</v>
      </c>
      <c r="B84" s="4">
        <v>46440.0</v>
      </c>
      <c r="C84" s="5">
        <v>12.0</v>
      </c>
      <c r="D84" s="5">
        <v>63.0</v>
      </c>
      <c r="E84" s="6">
        <v>1.0</v>
      </c>
      <c r="F84" s="7">
        <v>23.6</v>
      </c>
      <c r="G84" s="6">
        <v>0.29</v>
      </c>
      <c r="H84" s="8">
        <v>0.142</v>
      </c>
      <c r="I84" s="8">
        <v>0.017853511428</v>
      </c>
      <c r="J84" s="9">
        <v>5.0</v>
      </c>
    </row>
    <row r="85" ht="15.75" customHeight="1">
      <c r="A85" s="3" t="s">
        <v>93</v>
      </c>
      <c r="B85" s="4">
        <v>45864.0</v>
      </c>
      <c r="C85" s="5">
        <v>9.0</v>
      </c>
      <c r="D85" s="5">
        <v>41.0</v>
      </c>
      <c r="E85" s="6">
        <v>0.17</v>
      </c>
      <c r="F85" s="7">
        <v>23.6</v>
      </c>
      <c r="G85" s="6">
        <v>0.3</v>
      </c>
      <c r="H85" s="8">
        <v>0.1224</v>
      </c>
      <c r="I85" s="8">
        <v>0.016361072754</v>
      </c>
      <c r="J85" s="9">
        <v>15.0</v>
      </c>
    </row>
    <row r="86" ht="15.75" customHeight="1">
      <c r="A86" s="3" t="s">
        <v>94</v>
      </c>
      <c r="B86" s="4">
        <v>44988.0</v>
      </c>
      <c r="C86" s="5">
        <v>15.0</v>
      </c>
      <c r="D86" s="5">
        <v>29.0</v>
      </c>
      <c r="E86" s="6">
        <v>0.81</v>
      </c>
      <c r="F86" s="7">
        <v>25.6</v>
      </c>
      <c r="G86" s="6">
        <v>0.3</v>
      </c>
      <c r="H86" s="8">
        <v>0.0396</v>
      </c>
      <c r="I86" s="8">
        <v>0.014802107291999999</v>
      </c>
      <c r="J86" s="9">
        <v>8.0</v>
      </c>
    </row>
    <row r="87" ht="15.75" customHeight="1">
      <c r="A87" s="3" t="s">
        <v>95</v>
      </c>
      <c r="B87" s="4">
        <v>44352.0</v>
      </c>
      <c r="C87" s="5">
        <v>9.0</v>
      </c>
      <c r="D87" s="5">
        <v>50.0</v>
      </c>
      <c r="E87" s="6">
        <v>0.87</v>
      </c>
      <c r="F87" s="7">
        <v>13.4</v>
      </c>
      <c r="G87" s="6">
        <v>0.29</v>
      </c>
      <c r="H87" s="8">
        <v>0.0764</v>
      </c>
      <c r="I87" s="8">
        <v>0.016335971514</v>
      </c>
      <c r="J87" s="9">
        <v>26.0</v>
      </c>
    </row>
    <row r="88" ht="15.75" customHeight="1">
      <c r="A88" s="3" t="s">
        <v>96</v>
      </c>
      <c r="B88" s="4">
        <v>44304.0</v>
      </c>
      <c r="C88" s="5">
        <v>9.0</v>
      </c>
      <c r="D88" s="5">
        <v>14.0</v>
      </c>
      <c r="E88" s="6">
        <v>0.38</v>
      </c>
      <c r="F88" s="7">
        <v>18.5</v>
      </c>
      <c r="G88" s="6">
        <v>0.29</v>
      </c>
      <c r="H88" s="8">
        <v>0.052</v>
      </c>
      <c r="I88" s="8">
        <v>0.014142829842</v>
      </c>
      <c r="J88" s="9">
        <v>8.0</v>
      </c>
    </row>
    <row r="89" ht="15.75" customHeight="1">
      <c r="A89" s="3" t="s">
        <v>97</v>
      </c>
      <c r="B89" s="4">
        <v>44016.0</v>
      </c>
      <c r="C89" s="5">
        <v>9.0</v>
      </c>
      <c r="D89" s="5">
        <v>13.0</v>
      </c>
      <c r="E89" s="6">
        <v>0.3</v>
      </c>
      <c r="F89" s="7">
        <v>13.1</v>
      </c>
      <c r="G89" s="6">
        <v>0.3</v>
      </c>
      <c r="H89" s="8">
        <v>0.0312</v>
      </c>
      <c r="I89" s="8">
        <v>0.015159368453999999</v>
      </c>
      <c r="J89" s="9">
        <v>8.0</v>
      </c>
    </row>
    <row r="90" ht="15.75" customHeight="1">
      <c r="A90" s="3" t="s">
        <v>98</v>
      </c>
      <c r="B90" s="4">
        <v>43524.0</v>
      </c>
      <c r="C90" s="5">
        <v>18.0</v>
      </c>
      <c r="D90" s="5">
        <v>27.0</v>
      </c>
      <c r="E90" s="6">
        <v>0.64</v>
      </c>
      <c r="F90" s="7">
        <v>28.0</v>
      </c>
      <c r="G90" s="6">
        <v>0.25</v>
      </c>
      <c r="H90" s="8">
        <v>0.07</v>
      </c>
      <c r="I90" s="8">
        <v>0.026170939422</v>
      </c>
      <c r="J90" s="9">
        <v>37.0</v>
      </c>
    </row>
    <row r="91" ht="15.75" customHeight="1">
      <c r="A91" s="3" t="s">
        <v>99</v>
      </c>
      <c r="B91" s="4">
        <v>43452.0</v>
      </c>
      <c r="C91" s="5">
        <v>76.0</v>
      </c>
      <c r="D91" s="5">
        <v>149.0</v>
      </c>
      <c r="E91" s="6">
        <v>0.51</v>
      </c>
      <c r="F91" s="7">
        <v>26.3</v>
      </c>
      <c r="G91" s="6">
        <v>0.27</v>
      </c>
      <c r="H91" s="8">
        <v>0.0524</v>
      </c>
      <c r="I91" s="8">
        <v>0.015129478476</v>
      </c>
      <c r="J91" s="9">
        <v>8.0</v>
      </c>
    </row>
    <row r="92" ht="15.75" customHeight="1">
      <c r="A92" s="3" t="s">
        <v>100</v>
      </c>
      <c r="B92" s="4">
        <v>43200.0</v>
      </c>
      <c r="C92" s="5">
        <v>12.0</v>
      </c>
      <c r="D92" s="5">
        <v>16.0</v>
      </c>
      <c r="E92" s="6">
        <v>0.46</v>
      </c>
      <c r="F92" s="7">
        <v>23.1</v>
      </c>
      <c r="G92" s="6">
        <v>0.22</v>
      </c>
      <c r="H92" s="8">
        <v>0.1156</v>
      </c>
      <c r="I92" s="8">
        <v>0.02797336671</v>
      </c>
      <c r="J92" s="9">
        <v>8.0</v>
      </c>
    </row>
    <row r="93" ht="15.75" customHeight="1">
      <c r="A93" s="3" t="s">
        <v>101</v>
      </c>
      <c r="B93" s="4">
        <v>42900.0</v>
      </c>
      <c r="C93" s="5">
        <v>9.0</v>
      </c>
      <c r="D93" s="5">
        <v>60.0</v>
      </c>
      <c r="E93" s="6">
        <v>0.22</v>
      </c>
      <c r="F93" s="7">
        <v>18.8</v>
      </c>
      <c r="G93" s="6">
        <v>0.27</v>
      </c>
      <c r="H93" s="8">
        <v>0.016</v>
      </c>
      <c r="I93" s="8">
        <v>0.01879050591</v>
      </c>
      <c r="J93" s="9">
        <v>7.0</v>
      </c>
    </row>
    <row r="94" ht="15.75" customHeight="1">
      <c r="A94" s="3" t="s">
        <v>102</v>
      </c>
      <c r="B94" s="4">
        <v>42780.0</v>
      </c>
      <c r="C94" s="5">
        <v>17.0</v>
      </c>
      <c r="D94" s="5">
        <v>41.0</v>
      </c>
      <c r="E94" s="6">
        <v>0.46</v>
      </c>
      <c r="F94" s="7">
        <v>23.5</v>
      </c>
      <c r="G94" s="6">
        <v>0.3</v>
      </c>
      <c r="H94" s="8">
        <v>0.0388</v>
      </c>
      <c r="I94" s="8">
        <v>0.026138084058</v>
      </c>
      <c r="J94" s="9">
        <v>10.0</v>
      </c>
    </row>
    <row r="95" ht="15.75" customHeight="1">
      <c r="A95" s="3" t="s">
        <v>103</v>
      </c>
      <c r="B95" s="4">
        <v>40800.0</v>
      </c>
      <c r="C95" s="5">
        <v>14.0</v>
      </c>
      <c r="D95" s="5">
        <v>15.0</v>
      </c>
      <c r="E95" s="6">
        <v>0.71</v>
      </c>
      <c r="F95" s="7">
        <v>33.7</v>
      </c>
      <c r="G95" s="6">
        <v>0.27</v>
      </c>
      <c r="H95" s="8">
        <v>0.0404</v>
      </c>
      <c r="I95" s="8">
        <v>0.027617445606</v>
      </c>
      <c r="J95" s="9">
        <v>5.0</v>
      </c>
    </row>
    <row r="96" ht="15.75" customHeight="1">
      <c r="A96" s="3" t="s">
        <v>104</v>
      </c>
      <c r="B96" s="4">
        <v>39648.0</v>
      </c>
      <c r="C96" s="5">
        <v>9.0</v>
      </c>
      <c r="D96" s="5">
        <v>75.0</v>
      </c>
      <c r="E96" s="6">
        <v>0.71</v>
      </c>
      <c r="F96" s="7">
        <v>19.2</v>
      </c>
      <c r="G96" s="6">
        <v>0.3</v>
      </c>
      <c r="H96" s="8">
        <v>0.0928</v>
      </c>
      <c r="I96" s="8">
        <v>0.019479785232000002</v>
      </c>
      <c r="J96" s="9">
        <v>10.0</v>
      </c>
    </row>
    <row r="97" ht="15.75" customHeight="1">
      <c r="A97" s="3" t="s">
        <v>105</v>
      </c>
      <c r="B97" s="4">
        <v>39300.0</v>
      </c>
      <c r="C97" s="5">
        <v>17.0</v>
      </c>
      <c r="D97" s="5">
        <v>32.0</v>
      </c>
      <c r="E97" s="6">
        <v>0.94</v>
      </c>
      <c r="F97" s="7">
        <v>13.6</v>
      </c>
      <c r="G97" s="6">
        <v>0.3</v>
      </c>
      <c r="H97" s="8">
        <v>0.1248</v>
      </c>
      <c r="I97" s="8">
        <v>0.026363703924</v>
      </c>
      <c r="J97" s="9">
        <v>6.0</v>
      </c>
    </row>
    <row r="98" ht="15.75" customHeight="1">
      <c r="A98" s="3" t="s">
        <v>106</v>
      </c>
      <c r="B98" s="4">
        <v>39060.0</v>
      </c>
      <c r="C98" s="5">
        <v>18.0</v>
      </c>
      <c r="D98" s="5">
        <v>42.0</v>
      </c>
      <c r="E98" s="6">
        <v>0.23</v>
      </c>
      <c r="F98" s="7">
        <v>20.0</v>
      </c>
      <c r="G98" s="6">
        <v>0.15</v>
      </c>
      <c r="H98" s="8">
        <v>0.0828</v>
      </c>
      <c r="I98" s="8">
        <v>0.015885373656</v>
      </c>
      <c r="J98" s="9">
        <v>14.0</v>
      </c>
    </row>
    <row r="99" ht="15.75" customHeight="1">
      <c r="A99" s="3" t="s">
        <v>107</v>
      </c>
      <c r="B99" s="4">
        <v>39000.0</v>
      </c>
      <c r="C99" s="5">
        <v>8.0</v>
      </c>
      <c r="D99" s="5">
        <v>66.0</v>
      </c>
      <c r="E99" s="6">
        <v>0.36</v>
      </c>
      <c r="F99" s="7">
        <v>18.1</v>
      </c>
      <c r="G99" s="6">
        <v>0.3</v>
      </c>
      <c r="H99" s="8">
        <v>0.054</v>
      </c>
      <c r="I99" s="8">
        <v>0.024492753623999997</v>
      </c>
      <c r="J99" s="9">
        <v>16.0</v>
      </c>
    </row>
    <row r="100" ht="15.75" customHeight="1">
      <c r="A100" s="3" t="s">
        <v>108</v>
      </c>
      <c r="B100" s="4">
        <v>38880.0</v>
      </c>
      <c r="C100" s="5">
        <v>10.0</v>
      </c>
      <c r="D100" s="5">
        <v>22.0</v>
      </c>
      <c r="E100" s="6">
        <v>0.13</v>
      </c>
      <c r="F100" s="7">
        <v>16.2</v>
      </c>
      <c r="G100" s="6">
        <v>0.27</v>
      </c>
      <c r="H100" s="8">
        <v>0.0384</v>
      </c>
      <c r="I100" s="8">
        <v>0.016859225766</v>
      </c>
      <c r="J100" s="9">
        <v>32.0</v>
      </c>
    </row>
    <row r="101" ht="15.75" customHeight="1">
      <c r="A101" s="3" t="s">
        <v>109</v>
      </c>
      <c r="B101" s="4">
        <v>38544.0</v>
      </c>
      <c r="C101" s="5">
        <v>14.0</v>
      </c>
      <c r="D101" s="5">
        <v>15.0</v>
      </c>
      <c r="E101" s="6">
        <v>0.24</v>
      </c>
      <c r="F101" s="7">
        <v>18.4</v>
      </c>
      <c r="G101" s="6">
        <v>0.3</v>
      </c>
      <c r="H101" s="8">
        <v>0.0472</v>
      </c>
      <c r="I101" s="8">
        <v>0.016269125874</v>
      </c>
      <c r="J101" s="9">
        <v>17.0</v>
      </c>
    </row>
    <row r="102" ht="15.75" customHeight="1">
      <c r="A102" s="3" t="s">
        <v>110</v>
      </c>
      <c r="B102" s="4">
        <v>37920.0</v>
      </c>
      <c r="C102" s="5">
        <v>13.0</v>
      </c>
      <c r="D102" s="5">
        <v>57.0</v>
      </c>
      <c r="E102" s="6">
        <v>0.87</v>
      </c>
      <c r="F102" s="7">
        <v>14.4</v>
      </c>
      <c r="G102" s="6">
        <v>0.3</v>
      </c>
      <c r="H102" s="8">
        <v>0.0644</v>
      </c>
      <c r="I102" s="8">
        <v>0.028096065594</v>
      </c>
      <c r="J102" s="9">
        <v>11.0</v>
      </c>
    </row>
    <row r="103" ht="15.75" customHeight="1">
      <c r="A103" s="3" t="s">
        <v>111</v>
      </c>
      <c r="B103" s="4">
        <v>37500.0</v>
      </c>
      <c r="C103" s="5">
        <v>17.0</v>
      </c>
      <c r="D103" s="5">
        <v>45.0</v>
      </c>
      <c r="E103" s="6">
        <v>0.05</v>
      </c>
      <c r="F103" s="7">
        <v>19.1</v>
      </c>
      <c r="G103" s="6">
        <v>0.3</v>
      </c>
      <c r="H103" s="8">
        <v>0.0372</v>
      </c>
      <c r="I103" s="8">
        <v>0.017298657587999998</v>
      </c>
      <c r="J103" s="9">
        <v>16.0</v>
      </c>
    </row>
    <row r="104" ht="15.75" customHeight="1">
      <c r="A104" s="3" t="s">
        <v>112</v>
      </c>
      <c r="B104" s="4">
        <v>37440.0</v>
      </c>
      <c r="C104" s="5">
        <v>8.0</v>
      </c>
      <c r="D104" s="5">
        <v>17.0</v>
      </c>
      <c r="E104" s="6">
        <v>0.48</v>
      </c>
      <c r="F104" s="7">
        <v>19.7</v>
      </c>
      <c r="G104" s="6">
        <v>0.3</v>
      </c>
      <c r="H104" s="8">
        <v>0.0464</v>
      </c>
      <c r="I104" s="8">
        <v>0.017808955919999998</v>
      </c>
      <c r="J104" s="9">
        <v>14.0</v>
      </c>
    </row>
    <row r="105" ht="15.75" customHeight="1">
      <c r="A105" s="3" t="s">
        <v>113</v>
      </c>
      <c r="B105" s="4">
        <v>37248.0</v>
      </c>
      <c r="C105" s="5">
        <v>10.0</v>
      </c>
      <c r="D105" s="5">
        <v>33.0</v>
      </c>
      <c r="E105" s="6">
        <v>0.41</v>
      </c>
      <c r="F105" s="7">
        <v>18.0</v>
      </c>
      <c r="G105" s="6">
        <v>0.3</v>
      </c>
      <c r="H105" s="8">
        <v>0.0724</v>
      </c>
      <c r="I105" s="8">
        <v>0.017697857064</v>
      </c>
      <c r="J105" s="9">
        <v>4.0</v>
      </c>
    </row>
    <row r="106" ht="15.75" customHeight="1">
      <c r="A106" s="3" t="s">
        <v>114</v>
      </c>
      <c r="B106" s="4">
        <v>37128.0</v>
      </c>
      <c r="C106" s="5">
        <v>8.0</v>
      </c>
      <c r="D106" s="5">
        <v>35.0</v>
      </c>
      <c r="E106" s="6">
        <v>0.87</v>
      </c>
      <c r="F106" s="7">
        <v>16.4</v>
      </c>
      <c r="G106" s="6">
        <v>0.27</v>
      </c>
      <c r="H106" s="8">
        <v>0.0776</v>
      </c>
      <c r="I106" s="8">
        <v>0.024071805168</v>
      </c>
      <c r="J106" s="9">
        <v>10.0</v>
      </c>
    </row>
    <row r="107" ht="15.75" customHeight="1">
      <c r="A107" s="3" t="s">
        <v>115</v>
      </c>
      <c r="B107" s="4">
        <v>36864.0</v>
      </c>
      <c r="C107" s="5">
        <v>10.0</v>
      </c>
      <c r="D107" s="5">
        <v>23.0</v>
      </c>
      <c r="E107" s="6">
        <v>0.54</v>
      </c>
      <c r="F107" s="7">
        <v>17.3</v>
      </c>
      <c r="G107" s="6">
        <v>0.25</v>
      </c>
      <c r="H107" s="8">
        <v>0.0564</v>
      </c>
      <c r="I107" s="8">
        <v>0.023211791472</v>
      </c>
      <c r="J107" s="9">
        <v>17.0</v>
      </c>
    </row>
    <row r="108" ht="15.75" customHeight="1">
      <c r="A108" s="3" t="s">
        <v>116</v>
      </c>
      <c r="B108" s="4">
        <v>35568.0</v>
      </c>
      <c r="C108" s="5">
        <v>8.0</v>
      </c>
      <c r="D108" s="5">
        <v>40.0</v>
      </c>
      <c r="E108" s="6">
        <v>0.62</v>
      </c>
      <c r="F108" s="7">
        <v>17.4</v>
      </c>
      <c r="G108" s="6">
        <v>0.3</v>
      </c>
      <c r="H108" s="8">
        <v>0.0544</v>
      </c>
      <c r="I108" s="8">
        <v>0.022421553474</v>
      </c>
      <c r="J108" s="9">
        <v>9.0</v>
      </c>
    </row>
    <row r="109" ht="15.75" customHeight="1">
      <c r="A109" s="3" t="s">
        <v>117</v>
      </c>
      <c r="B109" s="4">
        <v>34788.0</v>
      </c>
      <c r="C109" s="5">
        <v>8.0</v>
      </c>
      <c r="D109" s="5">
        <v>17.0</v>
      </c>
      <c r="E109" s="6">
        <v>0.72</v>
      </c>
      <c r="F109" s="7">
        <v>13.7</v>
      </c>
      <c r="G109" s="6">
        <v>0.26</v>
      </c>
      <c r="H109" s="8">
        <v>0.0128</v>
      </c>
      <c r="I109" s="8">
        <v>0.020486437062</v>
      </c>
      <c r="J109" s="9">
        <v>9.0</v>
      </c>
    </row>
    <row r="110" ht="15.75" customHeight="1">
      <c r="A110" s="3" t="s">
        <v>118</v>
      </c>
      <c r="B110" s="4">
        <v>34200.0</v>
      </c>
      <c r="C110" s="5">
        <v>9.0</v>
      </c>
      <c r="D110" s="5">
        <v>13.0</v>
      </c>
      <c r="E110" s="6">
        <v>0.7</v>
      </c>
      <c r="F110" s="7">
        <v>21.8</v>
      </c>
      <c r="G110" s="6">
        <v>0.25</v>
      </c>
      <c r="H110" s="8">
        <v>0.0348</v>
      </c>
      <c r="I110" s="8">
        <v>0.020061907121999997</v>
      </c>
      <c r="J110" s="9">
        <v>7.0</v>
      </c>
    </row>
    <row r="111" ht="15.75" customHeight="1">
      <c r="A111" s="3" t="s">
        <v>119</v>
      </c>
      <c r="B111" s="4">
        <v>34068.0</v>
      </c>
      <c r="C111" s="5">
        <v>11.0</v>
      </c>
      <c r="D111" s="5">
        <v>110.0</v>
      </c>
      <c r="E111" s="6">
        <v>0.13</v>
      </c>
      <c r="F111" s="7">
        <v>28.6</v>
      </c>
      <c r="G111" s="6">
        <v>0.29</v>
      </c>
      <c r="H111" s="8">
        <v>0.0636</v>
      </c>
      <c r="I111" s="8">
        <v>0.022330359786</v>
      </c>
      <c r="J111" s="9">
        <v>22.0</v>
      </c>
    </row>
    <row r="112" ht="15.75" customHeight="1">
      <c r="A112" s="3" t="s">
        <v>120</v>
      </c>
      <c r="B112" s="4">
        <v>33984.0</v>
      </c>
      <c r="C112" s="5">
        <v>8.0</v>
      </c>
      <c r="D112" s="5">
        <v>11.0</v>
      </c>
      <c r="E112" s="6">
        <v>0.5</v>
      </c>
      <c r="F112" s="7">
        <v>14.4</v>
      </c>
      <c r="G112" s="6">
        <v>0.29</v>
      </c>
      <c r="H112" s="8">
        <v>0.0316</v>
      </c>
      <c r="I112" s="8">
        <v>0.026209529964</v>
      </c>
      <c r="J112" s="9">
        <v>6.0</v>
      </c>
    </row>
    <row r="113" ht="15.75" customHeight="1">
      <c r="A113" s="3" t="s">
        <v>121</v>
      </c>
      <c r="B113" s="4">
        <v>33960.0</v>
      </c>
      <c r="C113" s="5">
        <v>7.0</v>
      </c>
      <c r="D113" s="5">
        <v>54.0</v>
      </c>
      <c r="E113" s="6">
        <v>0.23</v>
      </c>
      <c r="F113" s="7">
        <v>20.4</v>
      </c>
      <c r="G113" s="6">
        <v>0.3</v>
      </c>
      <c r="H113" s="8">
        <v>0.066</v>
      </c>
      <c r="I113" s="8">
        <v>0.023057722716</v>
      </c>
      <c r="J113" s="9">
        <v>13.0</v>
      </c>
    </row>
    <row r="114" ht="15.75" customHeight="1">
      <c r="A114" s="3" t="s">
        <v>122</v>
      </c>
      <c r="B114" s="4">
        <v>33408.0</v>
      </c>
      <c r="C114" s="5">
        <v>22.0</v>
      </c>
      <c r="D114" s="5">
        <v>42.0</v>
      </c>
      <c r="E114" s="6">
        <v>0.66</v>
      </c>
      <c r="F114" s="7">
        <v>22.5</v>
      </c>
      <c r="G114" s="6">
        <v>0.29</v>
      </c>
      <c r="H114" s="8">
        <v>0.0756</v>
      </c>
      <c r="I114" s="8">
        <v>0.025022708424</v>
      </c>
      <c r="J114" s="9">
        <v>19.0</v>
      </c>
    </row>
    <row r="115" ht="15.75" customHeight="1">
      <c r="A115" s="3" t="s">
        <v>123</v>
      </c>
      <c r="B115" s="4">
        <v>33060.0</v>
      </c>
      <c r="C115" s="5">
        <v>12.0</v>
      </c>
      <c r="D115" s="5">
        <v>14.0</v>
      </c>
      <c r="E115" s="6">
        <v>0.43</v>
      </c>
      <c r="F115" s="7">
        <v>22.1</v>
      </c>
      <c r="G115" s="6">
        <v>0.3</v>
      </c>
      <c r="H115" s="8">
        <v>0.0268</v>
      </c>
      <c r="I115" s="8">
        <v>0.01414609008</v>
      </c>
      <c r="J115" s="9">
        <v>6.0</v>
      </c>
    </row>
    <row r="116" ht="15.75" customHeight="1">
      <c r="A116" s="3" t="s">
        <v>124</v>
      </c>
      <c r="B116" s="4">
        <v>33000.0</v>
      </c>
      <c r="C116" s="5">
        <v>14.0</v>
      </c>
      <c r="D116" s="5">
        <v>67.0</v>
      </c>
      <c r="E116" s="6">
        <v>0.22</v>
      </c>
      <c r="F116" s="7">
        <v>12.3</v>
      </c>
      <c r="G116" s="6">
        <v>0.3</v>
      </c>
      <c r="H116" s="8">
        <v>0.2668</v>
      </c>
      <c r="I116" s="8">
        <v>0.013717138283999999</v>
      </c>
      <c r="J116" s="9">
        <v>4.0</v>
      </c>
    </row>
    <row r="117" ht="15.75" customHeight="1">
      <c r="A117" s="3" t="s">
        <v>125</v>
      </c>
      <c r="B117" s="4">
        <v>32940.0</v>
      </c>
      <c r="C117" s="5">
        <v>9.0</v>
      </c>
      <c r="D117" s="5">
        <v>10.0</v>
      </c>
      <c r="E117" s="6">
        <v>0.33</v>
      </c>
      <c r="F117" s="7">
        <v>17.7</v>
      </c>
      <c r="G117" s="6">
        <v>0.3</v>
      </c>
      <c r="H117" s="8">
        <v>0.0544</v>
      </c>
      <c r="I117" s="8">
        <v>0.021855261605999998</v>
      </c>
      <c r="J117" s="9">
        <v>12.0</v>
      </c>
    </row>
    <row r="118" ht="15.75" customHeight="1">
      <c r="A118" s="3" t="s">
        <v>126</v>
      </c>
      <c r="B118" s="4">
        <v>32292.0</v>
      </c>
      <c r="C118" s="5">
        <v>7.0</v>
      </c>
      <c r="D118" s="5">
        <v>8.0</v>
      </c>
      <c r="E118" s="6">
        <v>0.69</v>
      </c>
      <c r="F118" s="7">
        <v>17.1</v>
      </c>
      <c r="G118" s="6">
        <v>0.24</v>
      </c>
      <c r="H118" s="8">
        <v>0.0752</v>
      </c>
      <c r="I118" s="8">
        <v>0.016821485622</v>
      </c>
      <c r="J118" s="9">
        <v>9.0</v>
      </c>
    </row>
    <row r="119" ht="15.75" customHeight="1">
      <c r="A119" s="3" t="s">
        <v>127</v>
      </c>
      <c r="B119" s="4">
        <v>32280.0</v>
      </c>
      <c r="C119" s="5">
        <v>7.0</v>
      </c>
      <c r="D119" s="5">
        <v>14.0</v>
      </c>
      <c r="E119" s="6">
        <v>0.57</v>
      </c>
      <c r="F119" s="7">
        <v>24.1</v>
      </c>
      <c r="G119" s="6">
        <v>0.3</v>
      </c>
      <c r="H119" s="8">
        <v>0.0536</v>
      </c>
      <c r="I119" s="8">
        <v>0.023332497144</v>
      </c>
      <c r="J119" s="9">
        <v>18.0</v>
      </c>
    </row>
    <row r="120" ht="15.75" customHeight="1">
      <c r="A120" s="3" t="s">
        <v>128</v>
      </c>
      <c r="B120" s="4">
        <v>31416.0</v>
      </c>
      <c r="C120" s="5">
        <v>10.0</v>
      </c>
      <c r="D120" s="5">
        <v>24.0</v>
      </c>
      <c r="E120" s="6">
        <v>0.17</v>
      </c>
      <c r="F120" s="7">
        <v>20.8</v>
      </c>
      <c r="G120" s="6">
        <v>0.3</v>
      </c>
      <c r="H120" s="8">
        <v>0.028</v>
      </c>
      <c r="I120" s="8">
        <v>0.014396767044</v>
      </c>
      <c r="J120" s="9">
        <v>14.0</v>
      </c>
    </row>
    <row r="121" ht="15.75" customHeight="1">
      <c r="A121" s="3" t="s">
        <v>129</v>
      </c>
      <c r="B121" s="4">
        <v>31320.0</v>
      </c>
      <c r="C121" s="5">
        <v>7.0</v>
      </c>
      <c r="D121" s="5">
        <v>11.0</v>
      </c>
      <c r="E121" s="6">
        <v>0.72</v>
      </c>
      <c r="F121" s="7">
        <v>27.8</v>
      </c>
      <c r="G121" s="6">
        <v>0.26</v>
      </c>
      <c r="H121" s="8">
        <v>0.0576</v>
      </c>
      <c r="I121" s="8">
        <v>0.013911334458</v>
      </c>
      <c r="J121" s="9">
        <v>5.0</v>
      </c>
    </row>
    <row r="122" ht="15.75" customHeight="1">
      <c r="A122" s="3" t="s">
        <v>130</v>
      </c>
      <c r="B122" s="4">
        <v>31104.0</v>
      </c>
      <c r="C122" s="5">
        <v>10.0</v>
      </c>
      <c r="D122" s="5">
        <v>13.0</v>
      </c>
      <c r="E122" s="6">
        <v>1.0</v>
      </c>
      <c r="F122" s="7">
        <v>18.5</v>
      </c>
      <c r="G122" s="6">
        <v>0.3</v>
      </c>
      <c r="H122" s="8">
        <v>0.0496</v>
      </c>
      <c r="I122" s="8">
        <v>0.014267113367999998</v>
      </c>
      <c r="J122" s="9">
        <v>17.0</v>
      </c>
    </row>
    <row r="123" ht="15.75" customHeight="1">
      <c r="A123" s="3" t="s">
        <v>131</v>
      </c>
      <c r="B123" s="4">
        <v>30756.0</v>
      </c>
      <c r="C123" s="5">
        <v>8.0</v>
      </c>
      <c r="D123" s="5">
        <v>9.0</v>
      </c>
      <c r="E123" s="6">
        <v>0.01</v>
      </c>
      <c r="F123" s="7">
        <v>27.8</v>
      </c>
      <c r="G123" s="6">
        <v>0.28</v>
      </c>
      <c r="H123" s="8">
        <v>0.0264</v>
      </c>
      <c r="I123" s="8">
        <v>0.017210518224</v>
      </c>
      <c r="J123" s="9">
        <v>6.0</v>
      </c>
    </row>
    <row r="124" ht="15.75" customHeight="1">
      <c r="A124" s="3" t="s">
        <v>132</v>
      </c>
      <c r="B124" s="4">
        <v>30744.0</v>
      </c>
      <c r="C124" s="5">
        <v>9.0</v>
      </c>
      <c r="D124" s="5">
        <v>12.0</v>
      </c>
      <c r="E124" s="6">
        <v>0.14</v>
      </c>
      <c r="F124" s="7">
        <v>18.6</v>
      </c>
      <c r="G124" s="6">
        <v>0.3</v>
      </c>
      <c r="H124" s="8">
        <v>0.01</v>
      </c>
      <c r="I124" s="8">
        <v>0.013187972022</v>
      </c>
      <c r="J124" s="9">
        <v>4.0</v>
      </c>
    </row>
    <row r="125" ht="15.75" customHeight="1">
      <c r="A125" s="3" t="s">
        <v>133</v>
      </c>
      <c r="B125" s="4">
        <v>28908.0</v>
      </c>
      <c r="C125" s="5">
        <v>8.0</v>
      </c>
      <c r="D125" s="5">
        <v>31.0</v>
      </c>
      <c r="E125" s="6">
        <v>0.16</v>
      </c>
      <c r="F125" s="7">
        <v>18.9</v>
      </c>
      <c r="G125" s="6">
        <v>0.27</v>
      </c>
      <c r="H125" s="8">
        <v>0.03</v>
      </c>
      <c r="I125" s="8">
        <v>0.013477483338</v>
      </c>
      <c r="J125" s="9">
        <v>9.0</v>
      </c>
    </row>
    <row r="126" ht="15.75" customHeight="1">
      <c r="A126" s="3" t="s">
        <v>134</v>
      </c>
      <c r="B126" s="4">
        <v>28896.0</v>
      </c>
      <c r="C126" s="5">
        <v>9.0</v>
      </c>
      <c r="D126" s="5">
        <v>69.0</v>
      </c>
      <c r="E126" s="6">
        <v>0.29</v>
      </c>
      <c r="F126" s="7">
        <v>21.2</v>
      </c>
      <c r="G126" s="6">
        <v>0.29</v>
      </c>
      <c r="H126" s="8">
        <v>0.0432</v>
      </c>
      <c r="I126" s="8">
        <v>0.019723351230000002</v>
      </c>
      <c r="J126" s="9">
        <v>8.0</v>
      </c>
    </row>
    <row r="127" ht="15.75" customHeight="1">
      <c r="A127" s="3" t="s">
        <v>135</v>
      </c>
      <c r="B127" s="4">
        <v>28620.0</v>
      </c>
      <c r="C127" s="5">
        <v>9.0</v>
      </c>
      <c r="D127" s="5">
        <v>25.0</v>
      </c>
      <c r="E127" s="6">
        <v>0.47</v>
      </c>
      <c r="F127" s="7">
        <v>27.3</v>
      </c>
      <c r="G127" s="6">
        <v>0.27</v>
      </c>
      <c r="H127" s="8">
        <v>0.0996</v>
      </c>
      <c r="I127" s="8">
        <v>0.021550879218</v>
      </c>
      <c r="J127" s="9">
        <v>19.0</v>
      </c>
    </row>
    <row r="128" ht="15.75" customHeight="1">
      <c r="A128" s="3" t="s">
        <v>136</v>
      </c>
      <c r="B128" s="4">
        <v>28512.0</v>
      </c>
      <c r="C128" s="5">
        <v>8.0</v>
      </c>
      <c r="D128" s="5">
        <v>10.0</v>
      </c>
      <c r="E128" s="6">
        <v>0.5</v>
      </c>
      <c r="F128" s="7">
        <v>32.2</v>
      </c>
      <c r="G128" s="6">
        <v>0.3</v>
      </c>
      <c r="H128" s="8">
        <v>0.0284</v>
      </c>
      <c r="I128" s="8">
        <v>0.021870495233999997</v>
      </c>
      <c r="J128" s="9">
        <v>6.0</v>
      </c>
    </row>
    <row r="129" ht="15.75" customHeight="1">
      <c r="A129" s="3" t="s">
        <v>137</v>
      </c>
      <c r="B129" s="4">
        <v>28080.0</v>
      </c>
      <c r="C129" s="5">
        <v>11.0</v>
      </c>
      <c r="D129" s="5">
        <v>24.0</v>
      </c>
      <c r="E129" s="6">
        <v>0.06</v>
      </c>
      <c r="F129" s="7">
        <v>29.9</v>
      </c>
      <c r="G129" s="6">
        <v>0.3</v>
      </c>
      <c r="H129" s="8">
        <v>0.088</v>
      </c>
      <c r="I129" s="8">
        <v>0.01741001934</v>
      </c>
      <c r="J129" s="9">
        <v>29.0</v>
      </c>
    </row>
    <row r="130" ht="15.75" customHeight="1">
      <c r="A130" s="3" t="s">
        <v>138</v>
      </c>
      <c r="B130" s="4">
        <v>28080.0</v>
      </c>
      <c r="C130" s="5">
        <v>7.0</v>
      </c>
      <c r="D130" s="5">
        <v>26.0</v>
      </c>
      <c r="E130" s="6">
        <v>0.21</v>
      </c>
      <c r="F130" s="7">
        <v>15.4</v>
      </c>
      <c r="G130" s="6">
        <v>0.3</v>
      </c>
      <c r="H130" s="8">
        <v>0.0272</v>
      </c>
      <c r="I130" s="8">
        <v>0.01867707036</v>
      </c>
      <c r="J130" s="9">
        <v>11.0</v>
      </c>
    </row>
    <row r="131" ht="15.75" customHeight="1">
      <c r="A131" s="3" t="s">
        <v>139</v>
      </c>
      <c r="B131" s="4">
        <v>27984.0</v>
      </c>
      <c r="C131" s="5">
        <v>14.0</v>
      </c>
      <c r="D131" s="5">
        <v>18.0</v>
      </c>
      <c r="E131" s="6">
        <v>0.28</v>
      </c>
      <c r="F131" s="7">
        <v>17.8</v>
      </c>
      <c r="G131" s="6">
        <v>0.28</v>
      </c>
      <c r="H131" s="8">
        <v>0.0544</v>
      </c>
      <c r="I131" s="8">
        <v>0.02317128093</v>
      </c>
      <c r="J131" s="9">
        <v>11.0</v>
      </c>
    </row>
    <row r="132" ht="15.75" customHeight="1">
      <c r="A132" s="3" t="s">
        <v>140</v>
      </c>
      <c r="B132" s="4">
        <v>27840.0</v>
      </c>
      <c r="C132" s="5">
        <v>6.0</v>
      </c>
      <c r="D132" s="5">
        <v>55.0</v>
      </c>
      <c r="E132" s="6">
        <v>0.58</v>
      </c>
      <c r="F132" s="7">
        <v>28.3</v>
      </c>
      <c r="G132" s="6">
        <v>0.23</v>
      </c>
      <c r="H132" s="8">
        <v>0.1064</v>
      </c>
      <c r="I132" s="8">
        <v>0.016064151282</v>
      </c>
      <c r="J132" s="9">
        <v>36.0</v>
      </c>
    </row>
    <row r="133" ht="15.75" customHeight="1">
      <c r="A133" s="3" t="s">
        <v>141</v>
      </c>
      <c r="B133" s="4">
        <v>27648.0</v>
      </c>
      <c r="C133" s="5">
        <v>6.0</v>
      </c>
      <c r="D133" s="5">
        <v>19.0</v>
      </c>
      <c r="E133" s="6">
        <v>0.67</v>
      </c>
      <c r="F133" s="7">
        <v>26.9</v>
      </c>
      <c r="G133" s="6">
        <v>0.3</v>
      </c>
      <c r="H133" s="8">
        <v>0.0968</v>
      </c>
      <c r="I133" s="8">
        <v>0.01450638516</v>
      </c>
      <c r="J133" s="9">
        <v>44.0</v>
      </c>
    </row>
    <row r="134" ht="15.75" customHeight="1">
      <c r="A134" s="3" t="s">
        <v>142</v>
      </c>
      <c r="B134" s="4">
        <v>27432.0</v>
      </c>
      <c r="C134" s="5">
        <v>7.0</v>
      </c>
      <c r="D134" s="5">
        <v>18.0</v>
      </c>
      <c r="E134" s="6">
        <v>0.45</v>
      </c>
      <c r="F134" s="7">
        <v>25.0</v>
      </c>
      <c r="G134" s="6">
        <v>0.3</v>
      </c>
      <c r="H134" s="8">
        <v>0.1256</v>
      </c>
      <c r="I134" s="8">
        <v>0.014325890844</v>
      </c>
      <c r="J134" s="9">
        <v>22.0</v>
      </c>
    </row>
    <row r="135" ht="15.75" customHeight="1">
      <c r="A135" s="3" t="s">
        <v>143</v>
      </c>
      <c r="B135" s="4">
        <v>27300.0</v>
      </c>
      <c r="C135" s="5">
        <v>8.0</v>
      </c>
      <c r="D135" s="5">
        <v>44.0</v>
      </c>
      <c r="E135" s="6">
        <v>0.05</v>
      </c>
      <c r="F135" s="7">
        <v>16.2</v>
      </c>
      <c r="G135" s="6">
        <v>0.28</v>
      </c>
      <c r="H135" s="8">
        <v>0.0212</v>
      </c>
      <c r="I135" s="8">
        <v>0.021603512015999998</v>
      </c>
      <c r="J135" s="9">
        <v>5.0</v>
      </c>
    </row>
    <row r="136" ht="15.75" customHeight="1">
      <c r="A136" s="3" t="s">
        <v>144</v>
      </c>
      <c r="B136" s="4">
        <v>27216.0</v>
      </c>
      <c r="C136" s="5">
        <v>8.0</v>
      </c>
      <c r="D136" s="5">
        <v>15.0</v>
      </c>
      <c r="E136" s="6">
        <v>0.54</v>
      </c>
      <c r="F136" s="7">
        <v>27.9</v>
      </c>
      <c r="G136" s="6">
        <v>0.29</v>
      </c>
      <c r="H136" s="8">
        <v>0.0556</v>
      </c>
      <c r="I136" s="8">
        <v>0.016650268776</v>
      </c>
      <c r="J136" s="9">
        <v>10.0</v>
      </c>
    </row>
    <row r="137" ht="15.75" customHeight="1">
      <c r="A137" s="3" t="s">
        <v>145</v>
      </c>
      <c r="B137" s="4">
        <v>26352.0</v>
      </c>
      <c r="C137" s="5">
        <v>8.0</v>
      </c>
      <c r="D137" s="5">
        <v>38.0</v>
      </c>
      <c r="E137" s="6">
        <v>0.35</v>
      </c>
      <c r="F137" s="7">
        <v>18.9</v>
      </c>
      <c r="G137" s="6">
        <v>0.29</v>
      </c>
      <c r="H137" s="8">
        <v>0.0584</v>
      </c>
      <c r="I137" s="8">
        <v>0.021098070599999998</v>
      </c>
      <c r="J137" s="9">
        <v>9.0</v>
      </c>
    </row>
    <row r="138" ht="15.75" customHeight="1">
      <c r="A138" s="3" t="s">
        <v>146</v>
      </c>
      <c r="B138" s="4">
        <v>26160.0</v>
      </c>
      <c r="C138" s="5">
        <v>7.0</v>
      </c>
      <c r="D138" s="5">
        <v>16.0</v>
      </c>
      <c r="E138" s="6">
        <v>0.93</v>
      </c>
      <c r="F138" s="7">
        <v>22.2</v>
      </c>
      <c r="G138" s="6">
        <v>0.3</v>
      </c>
      <c r="H138" s="8">
        <v>0.082</v>
      </c>
      <c r="I138" s="8">
        <v>0.014848584809999999</v>
      </c>
      <c r="J138" s="9">
        <v>8.0</v>
      </c>
    </row>
    <row r="139" ht="15.75" customHeight="1">
      <c r="A139" s="3" t="s">
        <v>147</v>
      </c>
      <c r="B139" s="4">
        <v>26052.0</v>
      </c>
      <c r="C139" s="5">
        <v>8.0</v>
      </c>
      <c r="D139" s="5">
        <v>9.0</v>
      </c>
      <c r="E139" s="6">
        <v>0.19</v>
      </c>
      <c r="F139" s="7">
        <v>17.3</v>
      </c>
      <c r="G139" s="6">
        <v>0.28</v>
      </c>
      <c r="H139" s="8">
        <v>0.2052</v>
      </c>
      <c r="I139" s="8">
        <v>0.022229953038</v>
      </c>
      <c r="J139" s="9">
        <v>7.0</v>
      </c>
    </row>
    <row r="140" ht="15.75" customHeight="1">
      <c r="A140" s="3" t="s">
        <v>148</v>
      </c>
      <c r="B140" s="4">
        <v>25872.0</v>
      </c>
      <c r="C140" s="5">
        <v>8.0</v>
      </c>
      <c r="D140" s="5">
        <v>10.0</v>
      </c>
      <c r="E140" s="6">
        <v>0.3</v>
      </c>
      <c r="F140" s="7">
        <v>19.5</v>
      </c>
      <c r="G140" s="6">
        <v>0.28</v>
      </c>
      <c r="H140" s="8">
        <v>0.0464</v>
      </c>
      <c r="I140" s="8">
        <v>0.014290978523999999</v>
      </c>
      <c r="J140" s="9">
        <v>13.0</v>
      </c>
    </row>
    <row r="141" ht="15.75" customHeight="1">
      <c r="A141" s="3" t="s">
        <v>149</v>
      </c>
      <c r="B141" s="4">
        <v>25380.0</v>
      </c>
      <c r="C141" s="5">
        <v>7.0</v>
      </c>
      <c r="D141" s="5">
        <v>23.0</v>
      </c>
      <c r="E141" s="6">
        <v>0.97</v>
      </c>
      <c r="F141" s="7">
        <v>21.1</v>
      </c>
      <c r="G141" s="6">
        <v>0.3</v>
      </c>
      <c r="H141" s="8">
        <v>0.036</v>
      </c>
      <c r="I141" s="8">
        <v>0.018355247238</v>
      </c>
      <c r="J141" s="9">
        <v>4.0</v>
      </c>
    </row>
    <row r="142" ht="15.75" customHeight="1">
      <c r="A142" s="3" t="s">
        <v>150</v>
      </c>
      <c r="B142" s="4">
        <v>24768.0</v>
      </c>
      <c r="C142" s="5">
        <v>8.0</v>
      </c>
      <c r="D142" s="5">
        <v>11.0</v>
      </c>
      <c r="E142" s="6">
        <v>0.84</v>
      </c>
      <c r="F142" s="7">
        <v>36.3</v>
      </c>
      <c r="G142" s="6">
        <v>0.29</v>
      </c>
      <c r="H142" s="8">
        <v>0.0</v>
      </c>
      <c r="I142" s="8">
        <v>0.031041533118000002</v>
      </c>
      <c r="J142" s="9">
        <v>3.0</v>
      </c>
    </row>
    <row r="143" ht="15.75" customHeight="1">
      <c r="A143" s="3" t="s">
        <v>151</v>
      </c>
      <c r="B143" s="4">
        <v>24420.0</v>
      </c>
      <c r="C143" s="5">
        <v>8.0</v>
      </c>
      <c r="D143" s="5">
        <v>40.0</v>
      </c>
      <c r="E143" s="6">
        <v>0.55</v>
      </c>
      <c r="F143" s="7">
        <v>14.9</v>
      </c>
      <c r="G143" s="6">
        <v>0.23</v>
      </c>
      <c r="H143" s="8">
        <v>0.0212</v>
      </c>
      <c r="I143" s="8">
        <v>0.034744900038</v>
      </c>
      <c r="J143" s="9">
        <v>14.0</v>
      </c>
    </row>
    <row r="144" ht="15.75" customHeight="1">
      <c r="A144" s="3" t="s">
        <v>152</v>
      </c>
      <c r="B144" s="4">
        <v>23616.0</v>
      </c>
      <c r="C144" s="5">
        <v>16.0</v>
      </c>
      <c r="D144" s="5">
        <v>20.0</v>
      </c>
      <c r="E144" s="6">
        <v>0.35</v>
      </c>
      <c r="F144" s="7">
        <v>19.4</v>
      </c>
      <c r="G144" s="6">
        <v>0.3</v>
      </c>
      <c r="H144" s="8">
        <v>0.0432</v>
      </c>
      <c r="I144" s="8">
        <v>0.013686874541999999</v>
      </c>
      <c r="J144" s="9">
        <v>8.0</v>
      </c>
    </row>
    <row r="145" ht="15.75" customHeight="1">
      <c r="A145" s="3" t="s">
        <v>153</v>
      </c>
      <c r="B145" s="4">
        <v>21708.0</v>
      </c>
      <c r="C145" s="5">
        <v>7.0</v>
      </c>
      <c r="D145" s="5">
        <v>9.0</v>
      </c>
      <c r="E145" s="6">
        <v>0.37</v>
      </c>
      <c r="F145" s="7">
        <v>16.4</v>
      </c>
      <c r="G145" s="6">
        <v>0.27</v>
      </c>
      <c r="H145" s="8">
        <v>0.0392</v>
      </c>
      <c r="I145" s="8">
        <v>0.030804349457999997</v>
      </c>
      <c r="J145" s="9">
        <v>12.0</v>
      </c>
    </row>
    <row r="146" ht="15.75" customHeight="1">
      <c r="A146" s="3" t="s">
        <v>154</v>
      </c>
      <c r="B146" s="4">
        <v>21600.0</v>
      </c>
      <c r="C146" s="5">
        <v>8.0</v>
      </c>
      <c r="D146" s="5">
        <v>13.0</v>
      </c>
      <c r="E146" s="6">
        <v>0.77</v>
      </c>
      <c r="F146" s="7">
        <v>18.1</v>
      </c>
      <c r="G146" s="6">
        <v>0.29</v>
      </c>
      <c r="H146" s="8">
        <v>0.0564</v>
      </c>
      <c r="I146" s="8">
        <v>0.017213501915999997</v>
      </c>
      <c r="J146" s="9">
        <v>9.0</v>
      </c>
    </row>
    <row r="147" ht="15.75" customHeight="1">
      <c r="A147" s="3" t="s">
        <v>155</v>
      </c>
      <c r="B147" s="4">
        <v>20880.0</v>
      </c>
      <c r="C147" s="5">
        <v>8.0</v>
      </c>
      <c r="D147" s="5">
        <v>80.0</v>
      </c>
      <c r="E147" s="6">
        <v>0.56</v>
      </c>
      <c r="F147" s="7">
        <v>15.8</v>
      </c>
      <c r="G147" s="6">
        <v>0.3</v>
      </c>
      <c r="H147" s="8">
        <v>0.0896</v>
      </c>
      <c r="I147" s="8">
        <v>0.009831856206</v>
      </c>
      <c r="J147" s="9">
        <v>11.0</v>
      </c>
    </row>
    <row r="148" ht="15.75" customHeight="1">
      <c r="A148" s="3" t="s">
        <v>156</v>
      </c>
      <c r="B148" s="4">
        <v>20808.0</v>
      </c>
      <c r="C148" s="5">
        <v>10.0</v>
      </c>
      <c r="D148" s="5">
        <v>11.0</v>
      </c>
      <c r="E148" s="6">
        <v>0.76</v>
      </c>
      <c r="F148" s="7">
        <v>20.1</v>
      </c>
      <c r="G148" s="6">
        <v>0.25</v>
      </c>
      <c r="H148" s="8">
        <v>0.0524</v>
      </c>
      <c r="I148" s="8">
        <v>0.034392262326</v>
      </c>
      <c r="J148" s="9">
        <v>10.0</v>
      </c>
    </row>
    <row r="149" ht="15.75" customHeight="1">
      <c r="A149" s="3" t="s">
        <v>157</v>
      </c>
      <c r="B149" s="4">
        <v>20448.0</v>
      </c>
      <c r="C149" s="5">
        <v>8.0</v>
      </c>
      <c r="D149" s="5">
        <v>10.0</v>
      </c>
      <c r="E149" s="6">
        <v>0.03</v>
      </c>
      <c r="F149" s="7">
        <v>26.4</v>
      </c>
      <c r="G149" s="6">
        <v>0.25</v>
      </c>
      <c r="H149" s="8">
        <v>0.0532</v>
      </c>
      <c r="I149" s="8">
        <v>0.01781536725</v>
      </c>
      <c r="J149" s="9">
        <v>34.0</v>
      </c>
    </row>
    <row r="150" ht="15.75" customHeight="1">
      <c r="A150" s="3" t="s">
        <v>158</v>
      </c>
      <c r="B150" s="4">
        <v>19872.0</v>
      </c>
      <c r="C150" s="5">
        <v>14.0</v>
      </c>
      <c r="D150" s="5">
        <v>16.0</v>
      </c>
      <c r="E150" s="6">
        <v>0.88</v>
      </c>
      <c r="F150" s="7">
        <v>20.9</v>
      </c>
      <c r="G150" s="6">
        <v>0.29</v>
      </c>
      <c r="H150" s="8">
        <v>0.0592</v>
      </c>
      <c r="I150" s="8">
        <v>0.014158759902</v>
      </c>
      <c r="J150" s="9">
        <v>16.0</v>
      </c>
    </row>
    <row r="151" ht="15.75" customHeight="1">
      <c r="A151" s="3" t="s">
        <v>159</v>
      </c>
      <c r="B151" s="4">
        <v>19824.0</v>
      </c>
      <c r="C151" s="5">
        <v>6.0</v>
      </c>
      <c r="D151" s="5">
        <v>7.0</v>
      </c>
      <c r="E151" s="6">
        <v>0.3</v>
      </c>
      <c r="F151" s="7">
        <v>23.7</v>
      </c>
      <c r="G151" s="6">
        <v>0.27</v>
      </c>
      <c r="H151" s="8">
        <v>0.074</v>
      </c>
      <c r="I151" s="8">
        <v>0.019642969782</v>
      </c>
      <c r="J151" s="9">
        <v>4.0</v>
      </c>
    </row>
    <row r="152" ht="15.75" customHeight="1">
      <c r="A152" s="3" t="s">
        <v>160</v>
      </c>
      <c r="B152" s="4">
        <v>19488.0</v>
      </c>
      <c r="C152" s="5">
        <v>9.0</v>
      </c>
      <c r="D152" s="5">
        <v>12.0</v>
      </c>
      <c r="E152" s="6">
        <v>0.3</v>
      </c>
      <c r="F152" s="7">
        <v>20.0</v>
      </c>
      <c r="G152" s="6">
        <v>0.3</v>
      </c>
      <c r="H152" s="8">
        <v>0.146</v>
      </c>
      <c r="I152" s="8">
        <v>0.013821521238</v>
      </c>
      <c r="J152" s="9">
        <v>6.0</v>
      </c>
    </row>
    <row r="153" ht="15.75" customHeight="1">
      <c r="A153" s="3" t="s">
        <v>161</v>
      </c>
      <c r="B153" s="4">
        <v>19008.0</v>
      </c>
      <c r="C153" s="5">
        <v>10.0</v>
      </c>
      <c r="D153" s="5">
        <v>13.0</v>
      </c>
      <c r="E153" s="6">
        <v>1.0</v>
      </c>
      <c r="F153" s="7">
        <v>18.0</v>
      </c>
      <c r="G153" s="6">
        <v>0.18</v>
      </c>
      <c r="H153" s="8">
        <v>0.0184</v>
      </c>
      <c r="I153" s="8">
        <v>0.017544254633999997</v>
      </c>
      <c r="J153" s="9">
        <v>7.0</v>
      </c>
    </row>
    <row r="154" ht="15.75" customHeight="1">
      <c r="A154" s="3" t="s">
        <v>162</v>
      </c>
      <c r="B154" s="4">
        <v>19008.0</v>
      </c>
      <c r="C154" s="5">
        <v>7.0</v>
      </c>
      <c r="D154" s="5">
        <v>19.0</v>
      </c>
      <c r="E154" s="6">
        <v>0.38</v>
      </c>
      <c r="F154" s="7">
        <v>18.4</v>
      </c>
      <c r="G154" s="6">
        <v>0.28</v>
      </c>
      <c r="H154" s="8">
        <v>0.3132</v>
      </c>
      <c r="I154" s="8">
        <v>0.016501331442</v>
      </c>
      <c r="J154" s="9">
        <v>5.0</v>
      </c>
    </row>
    <row r="155" ht="15.75" customHeight="1">
      <c r="A155" s="3" t="s">
        <v>163</v>
      </c>
      <c r="B155" s="4">
        <v>18816.0</v>
      </c>
      <c r="C155" s="5">
        <v>6.0</v>
      </c>
      <c r="D155" s="5">
        <v>13.0</v>
      </c>
      <c r="E155" s="6">
        <v>0.31</v>
      </c>
      <c r="F155" s="7">
        <v>32.4</v>
      </c>
      <c r="G155" s="6">
        <v>0.29</v>
      </c>
      <c r="H155" s="8">
        <v>0.0388</v>
      </c>
      <c r="I155" s="8">
        <v>0.018379929761999998</v>
      </c>
      <c r="J155" s="9">
        <v>10.0</v>
      </c>
    </row>
    <row r="156" ht="15.75" customHeight="1">
      <c r="A156" s="3" t="s">
        <v>164</v>
      </c>
      <c r="B156" s="4">
        <v>18240.0</v>
      </c>
      <c r="C156" s="5">
        <v>13.0</v>
      </c>
      <c r="D156" s="5">
        <v>27.0</v>
      </c>
      <c r="E156" s="6">
        <v>0.68</v>
      </c>
      <c r="F156" s="7">
        <v>19.5</v>
      </c>
      <c r="G156" s="6">
        <v>0.3</v>
      </c>
      <c r="H156" s="8">
        <v>0.0344</v>
      </c>
      <c r="I156" s="8">
        <v>0.01763664576</v>
      </c>
      <c r="J156" s="9">
        <v>4.0</v>
      </c>
    </row>
    <row r="157" ht="15.75" customHeight="1">
      <c r="A157" s="3" t="s">
        <v>165</v>
      </c>
      <c r="B157" s="4">
        <v>18000.0</v>
      </c>
      <c r="C157" s="5">
        <v>13.0</v>
      </c>
      <c r="D157" s="5">
        <v>19.0</v>
      </c>
      <c r="E157" s="6">
        <v>0.93</v>
      </c>
      <c r="F157" s="7">
        <v>22.5</v>
      </c>
      <c r="G157" s="6">
        <v>0.3</v>
      </c>
      <c r="H157" s="8">
        <v>0.0544</v>
      </c>
      <c r="I157" s="8">
        <v>0.017958540377999998</v>
      </c>
      <c r="J157" s="9">
        <v>6.0</v>
      </c>
    </row>
    <row r="158" ht="15.75" customHeight="1">
      <c r="A158" s="3" t="s">
        <v>166</v>
      </c>
      <c r="B158" s="4">
        <v>17712.0</v>
      </c>
      <c r="C158" s="5">
        <v>7.0</v>
      </c>
      <c r="D158" s="5">
        <v>20.0</v>
      </c>
      <c r="E158" s="6">
        <v>0.87</v>
      </c>
      <c r="F158" s="7">
        <v>19.0</v>
      </c>
      <c r="G158" s="6">
        <v>0.23</v>
      </c>
      <c r="H158" s="8">
        <v>0.0592</v>
      </c>
      <c r="I158" s="8">
        <v>0.009844548228</v>
      </c>
      <c r="J158" s="9">
        <v>11.0</v>
      </c>
    </row>
    <row r="159" ht="15.75" customHeight="1">
      <c r="A159" s="3" t="s">
        <v>167</v>
      </c>
      <c r="B159" s="4">
        <v>17280.0</v>
      </c>
      <c r="C159" s="5">
        <v>6.0</v>
      </c>
      <c r="D159" s="5">
        <v>11.0</v>
      </c>
      <c r="E159" s="6">
        <v>0.82</v>
      </c>
      <c r="F159" s="7">
        <v>22.3</v>
      </c>
      <c r="G159" s="6">
        <v>0.27</v>
      </c>
      <c r="H159" s="8">
        <v>0.044</v>
      </c>
      <c r="I159" s="8">
        <v>0.029892705282</v>
      </c>
      <c r="J159" s="9">
        <v>32.0</v>
      </c>
    </row>
    <row r="160" ht="15.75" customHeight="1">
      <c r="A160" s="3" t="s">
        <v>168</v>
      </c>
      <c r="B160" s="4">
        <v>17172.0</v>
      </c>
      <c r="C160" s="5">
        <v>7.0</v>
      </c>
      <c r="D160" s="5">
        <v>54.0</v>
      </c>
      <c r="E160" s="6">
        <v>0.51</v>
      </c>
      <c r="F160" s="7">
        <v>18.0</v>
      </c>
      <c r="G160" s="6">
        <v>0.3</v>
      </c>
      <c r="H160" s="8">
        <v>0.0464</v>
      </c>
      <c r="I160" s="8">
        <v>0.028557623693999997</v>
      </c>
      <c r="J160" s="9">
        <v>15.0</v>
      </c>
    </row>
    <row r="161" ht="15.75" customHeight="1">
      <c r="A161" s="3" t="s">
        <v>169</v>
      </c>
      <c r="B161" s="4">
        <v>16440.0</v>
      </c>
      <c r="C161" s="5">
        <v>7.0</v>
      </c>
      <c r="D161" s="5">
        <v>9.0</v>
      </c>
      <c r="E161" s="6">
        <v>0.07</v>
      </c>
      <c r="F161" s="7">
        <v>16.7</v>
      </c>
      <c r="G161" s="6">
        <v>0.3</v>
      </c>
      <c r="H161" s="8">
        <v>0.052</v>
      </c>
      <c r="I161" s="8">
        <v>0.028816190075999996</v>
      </c>
      <c r="J161" s="9">
        <v>25.0</v>
      </c>
    </row>
    <row r="162" ht="15.75" customHeight="1">
      <c r="A162" s="3" t="s">
        <v>170</v>
      </c>
      <c r="B162" s="4">
        <v>16320.0</v>
      </c>
      <c r="C162" s="5">
        <v>6.0</v>
      </c>
      <c r="D162" s="5">
        <v>15.0</v>
      </c>
      <c r="E162" s="6">
        <v>0.67</v>
      </c>
      <c r="F162" s="7">
        <v>24.6</v>
      </c>
      <c r="G162" s="6">
        <v>0.3</v>
      </c>
      <c r="H162" s="8">
        <v>0.0736</v>
      </c>
      <c r="I162" s="8">
        <v>0.010304711651999999</v>
      </c>
      <c r="J162" s="9">
        <v>17.0</v>
      </c>
    </row>
    <row r="163" ht="15.75" customHeight="1">
      <c r="A163" s="3" t="s">
        <v>171</v>
      </c>
      <c r="B163" s="4">
        <v>16224.0</v>
      </c>
      <c r="C163" s="5">
        <v>6.0</v>
      </c>
      <c r="D163" s="5">
        <v>23.0</v>
      </c>
      <c r="E163" s="6">
        <v>0.51</v>
      </c>
      <c r="F163" s="7">
        <v>20.0</v>
      </c>
      <c r="G163" s="6">
        <v>0.28</v>
      </c>
      <c r="H163" s="8">
        <v>0.0284</v>
      </c>
      <c r="I163" s="8">
        <v>0.028861417542</v>
      </c>
      <c r="J163" s="9">
        <v>14.0</v>
      </c>
    </row>
    <row r="164" ht="15.75" customHeight="1">
      <c r="A164" s="3" t="s">
        <v>172</v>
      </c>
      <c r="B164" s="4">
        <v>15120.0</v>
      </c>
      <c r="C164" s="5">
        <v>8.0</v>
      </c>
      <c r="D164" s="5">
        <v>29.0</v>
      </c>
      <c r="E164" s="6">
        <v>0.2</v>
      </c>
      <c r="F164" s="7">
        <v>17.1</v>
      </c>
      <c r="G164" s="6">
        <v>0.3</v>
      </c>
      <c r="H164" s="8">
        <v>0.0832</v>
      </c>
      <c r="I164" s="8">
        <v>0.014155418298</v>
      </c>
      <c r="J164" s="9">
        <v>3.0</v>
      </c>
    </row>
    <row r="165" ht="15.75" customHeight="1">
      <c r="A165" s="3" t="s">
        <v>173</v>
      </c>
      <c r="B165" s="4">
        <v>14904.0</v>
      </c>
      <c r="C165" s="5">
        <v>7.0</v>
      </c>
      <c r="D165" s="5">
        <v>23.0</v>
      </c>
      <c r="E165" s="6">
        <v>0.31</v>
      </c>
      <c r="F165" s="7">
        <v>17.5</v>
      </c>
      <c r="G165" s="6">
        <v>0.3</v>
      </c>
      <c r="H165" s="8">
        <v>0.0252</v>
      </c>
      <c r="I165" s="8">
        <v>0.02353482999</v>
      </c>
      <c r="J165" s="9">
        <v>3.0</v>
      </c>
    </row>
    <row r="166" ht="15.75" customHeight="1">
      <c r="A166" s="3" t="s">
        <v>174</v>
      </c>
      <c r="B166" s="4">
        <v>14784.0</v>
      </c>
      <c r="C166" s="5">
        <v>14.0</v>
      </c>
      <c r="D166" s="5">
        <v>43.0</v>
      </c>
      <c r="E166" s="6">
        <v>0.23</v>
      </c>
      <c r="F166" s="7">
        <v>14.9</v>
      </c>
      <c r="G166" s="6">
        <v>0.26</v>
      </c>
      <c r="H166" s="8">
        <v>0.0</v>
      </c>
      <c r="I166" s="8">
        <v>0.016803891624</v>
      </c>
      <c r="J166" s="9">
        <v>4.0</v>
      </c>
    </row>
    <row r="167" ht="15.75" customHeight="1">
      <c r="A167" s="3" t="s">
        <v>175</v>
      </c>
      <c r="B167" s="4">
        <v>14520.0</v>
      </c>
      <c r="C167" s="5">
        <v>6.0</v>
      </c>
      <c r="D167" s="5">
        <v>12.0</v>
      </c>
      <c r="E167" s="6">
        <v>0.68</v>
      </c>
      <c r="F167" s="7">
        <v>19.8</v>
      </c>
      <c r="G167" s="6">
        <v>0.3</v>
      </c>
      <c r="H167" s="8">
        <v>0.0592</v>
      </c>
      <c r="I167" s="8">
        <v>0.018657574374</v>
      </c>
      <c r="J167" s="9">
        <v>8.0</v>
      </c>
    </row>
    <row r="168" ht="15.75" customHeight="1">
      <c r="A168" s="3" t="s">
        <v>176</v>
      </c>
      <c r="B168" s="4">
        <v>14364.0</v>
      </c>
      <c r="C168" s="5">
        <v>6.0</v>
      </c>
      <c r="D168" s="5">
        <v>7.0</v>
      </c>
      <c r="E168" s="6">
        <v>0.06</v>
      </c>
      <c r="F168" s="7">
        <v>26.9</v>
      </c>
      <c r="G168" s="6">
        <v>0.3</v>
      </c>
      <c r="H168" s="8">
        <v>0.0508</v>
      </c>
      <c r="I168" s="8">
        <v>0.021659550474000002</v>
      </c>
      <c r="J168" s="9">
        <v>15.0</v>
      </c>
    </row>
    <row r="169" ht="15.75" customHeight="1">
      <c r="A169" s="3" t="s">
        <v>177</v>
      </c>
      <c r="B169" s="4">
        <v>14256.0</v>
      </c>
      <c r="C169" s="5">
        <v>8.0</v>
      </c>
      <c r="D169" s="5">
        <v>19.0</v>
      </c>
      <c r="E169" s="6">
        <v>0.87</v>
      </c>
      <c r="F169" s="7">
        <v>18.6</v>
      </c>
      <c r="G169" s="6">
        <v>0.3</v>
      </c>
      <c r="H169" s="8">
        <v>0.1252</v>
      </c>
      <c r="I169" s="8">
        <v>0.024076386930000002</v>
      </c>
      <c r="J169" s="9">
        <v>5.0</v>
      </c>
    </row>
    <row r="170" ht="15.75" customHeight="1">
      <c r="A170" s="3" t="s">
        <v>178</v>
      </c>
      <c r="B170" s="4">
        <v>14112.0</v>
      </c>
      <c r="C170" s="5">
        <v>6.0</v>
      </c>
      <c r="D170" s="5">
        <v>27.0</v>
      </c>
      <c r="E170" s="6">
        <v>0.42</v>
      </c>
      <c r="F170" s="7">
        <v>15.8</v>
      </c>
      <c r="G170" s="6">
        <v>0.3</v>
      </c>
      <c r="H170" s="8">
        <v>0.0392</v>
      </c>
      <c r="I170" s="8">
        <v>0.024434145468</v>
      </c>
      <c r="J170" s="9">
        <v>14.0</v>
      </c>
    </row>
    <row r="171" ht="15.75" customHeight="1">
      <c r="A171" s="3" t="s">
        <v>179</v>
      </c>
      <c r="B171" s="4">
        <v>13776.0</v>
      </c>
      <c r="C171" s="5">
        <v>9.0</v>
      </c>
      <c r="D171" s="5">
        <v>19.0</v>
      </c>
      <c r="E171" s="6">
        <v>0.52</v>
      </c>
      <c r="F171" s="7">
        <v>16.7</v>
      </c>
      <c r="G171" s="6">
        <v>0.29</v>
      </c>
      <c r="H171" s="8">
        <v>0.0328</v>
      </c>
      <c r="I171" s="8">
        <v>0.010077351383999998</v>
      </c>
      <c r="J171" s="9">
        <v>22.0</v>
      </c>
    </row>
    <row r="172" ht="15.75" customHeight="1">
      <c r="A172" s="3" t="s">
        <v>180</v>
      </c>
      <c r="B172" s="4">
        <v>12672.0</v>
      </c>
      <c r="C172" s="5">
        <v>8.0</v>
      </c>
      <c r="D172" s="5">
        <v>19.0</v>
      </c>
      <c r="E172" s="6">
        <v>0.63</v>
      </c>
      <c r="F172" s="7">
        <v>23.4</v>
      </c>
      <c r="G172" s="6">
        <v>0.3</v>
      </c>
      <c r="H172" s="8">
        <v>0.0492</v>
      </c>
      <c r="I172" s="8">
        <v>0.009803251068</v>
      </c>
      <c r="J172" s="9">
        <v>9.0</v>
      </c>
    </row>
    <row r="173" ht="15.75" customHeight="1">
      <c r="A173" s="3" t="s">
        <v>181</v>
      </c>
      <c r="B173" s="4">
        <v>11748.0</v>
      </c>
      <c r="C173" s="5">
        <v>7.0</v>
      </c>
      <c r="D173" s="5">
        <v>16.0</v>
      </c>
      <c r="E173" s="6">
        <v>0.34</v>
      </c>
      <c r="F173" s="7">
        <v>14.9</v>
      </c>
      <c r="G173" s="6">
        <v>0.26</v>
      </c>
      <c r="H173" s="8">
        <v>0.0</v>
      </c>
      <c r="I173" s="8">
        <v>0.020941194264000002</v>
      </c>
      <c r="J173" s="9">
        <v>4.0</v>
      </c>
    </row>
    <row r="174" ht="15.75" customHeight="1">
      <c r="A174" s="3" t="s">
        <v>182</v>
      </c>
      <c r="B174" s="4">
        <v>11664.0</v>
      </c>
      <c r="C174" s="5">
        <v>11.0</v>
      </c>
      <c r="D174" s="5">
        <v>69.0</v>
      </c>
      <c r="E174" s="6">
        <v>0.67</v>
      </c>
      <c r="F174" s="7">
        <v>25.1</v>
      </c>
      <c r="G174" s="6">
        <v>0.3</v>
      </c>
      <c r="H174" s="8">
        <v>0.044</v>
      </c>
      <c r="I174" s="8">
        <v>0.024423904463999998</v>
      </c>
      <c r="J174" s="9">
        <v>13.0</v>
      </c>
    </row>
    <row r="175" ht="15.75" customHeight="1">
      <c r="A175" s="3" t="s">
        <v>183</v>
      </c>
      <c r="B175" s="4">
        <v>11460.0</v>
      </c>
      <c r="C175" s="5">
        <v>6.0</v>
      </c>
      <c r="D175" s="5">
        <v>26.0</v>
      </c>
      <c r="E175" s="6">
        <v>1.0</v>
      </c>
      <c r="F175" s="7">
        <v>14.4</v>
      </c>
      <c r="G175" s="6">
        <v>0.24</v>
      </c>
      <c r="H175" s="8">
        <v>0.0408</v>
      </c>
      <c r="I175" s="8">
        <v>0.013983325974</v>
      </c>
      <c r="J175" s="9">
        <v>26.0</v>
      </c>
    </row>
    <row r="176" ht="15.75" customHeight="1">
      <c r="A176" s="3" t="s">
        <v>184</v>
      </c>
      <c r="B176" s="4">
        <v>11424.0</v>
      </c>
      <c r="C176" s="5">
        <v>10.0</v>
      </c>
      <c r="D176" s="5">
        <v>11.0</v>
      </c>
      <c r="E176" s="6">
        <v>0.58</v>
      </c>
      <c r="F176" s="7">
        <v>18.9</v>
      </c>
      <c r="G176" s="6">
        <v>0.28</v>
      </c>
      <c r="H176" s="8">
        <v>0.0812</v>
      </c>
      <c r="I176" s="8">
        <v>0.019640651904</v>
      </c>
      <c r="J176" s="9">
        <v>9.0</v>
      </c>
    </row>
    <row r="177" ht="15.75" customHeight="1">
      <c r="A177" s="3" t="s">
        <v>185</v>
      </c>
      <c r="B177" s="4">
        <v>11400.0</v>
      </c>
      <c r="C177" s="5">
        <v>6.0</v>
      </c>
      <c r="D177" s="5">
        <v>17.0</v>
      </c>
      <c r="E177" s="6">
        <v>0.98</v>
      </c>
      <c r="F177" s="7">
        <v>14.4</v>
      </c>
      <c r="G177" s="6">
        <v>0.3</v>
      </c>
      <c r="H177" s="8">
        <v>0.0276</v>
      </c>
      <c r="I177" s="8">
        <v>0.014944378368</v>
      </c>
      <c r="J177" s="9">
        <v>8.0</v>
      </c>
    </row>
    <row r="178" ht="15.75" customHeight="1">
      <c r="A178" s="3" t="s">
        <v>186</v>
      </c>
      <c r="B178" s="4">
        <v>10248.0</v>
      </c>
      <c r="C178" s="5">
        <v>6.0</v>
      </c>
      <c r="D178" s="5">
        <v>13.0</v>
      </c>
      <c r="E178" s="6">
        <v>0.92</v>
      </c>
      <c r="F178" s="7">
        <v>20.8</v>
      </c>
      <c r="G178" s="6">
        <v>0.26</v>
      </c>
      <c r="H178" s="8">
        <v>0.0676</v>
      </c>
      <c r="I178" s="8">
        <v>0.010528988868</v>
      </c>
      <c r="J178" s="9">
        <v>23.0</v>
      </c>
    </row>
    <row r="179" ht="15.75" customHeight="1">
      <c r="A179" s="3" t="s">
        <v>187</v>
      </c>
      <c r="B179" s="4">
        <v>10140.0</v>
      </c>
      <c r="C179" s="5">
        <v>6.0</v>
      </c>
      <c r="D179" s="5">
        <v>10.0</v>
      </c>
      <c r="E179" s="6">
        <v>0.73</v>
      </c>
      <c r="F179" s="7">
        <v>20.2</v>
      </c>
      <c r="G179" s="6">
        <v>0.3</v>
      </c>
      <c r="H179" s="8">
        <v>0.0476</v>
      </c>
      <c r="I179" s="8">
        <v>0.023329417332</v>
      </c>
      <c r="J179" s="9">
        <v>17.0</v>
      </c>
    </row>
    <row r="180" ht="15.75" customHeight="1">
      <c r="A180" s="3" t="s">
        <v>188</v>
      </c>
      <c r="B180" s="4">
        <v>10008.0</v>
      </c>
      <c r="C180" s="5">
        <v>6.0</v>
      </c>
      <c r="D180" s="5">
        <v>50.0</v>
      </c>
      <c r="E180" s="6">
        <v>0.05</v>
      </c>
      <c r="F180" s="7">
        <v>18.3</v>
      </c>
      <c r="G180" s="6">
        <v>0.3</v>
      </c>
      <c r="H180" s="8">
        <v>0.0532</v>
      </c>
      <c r="I180" s="8">
        <v>0.015528866412</v>
      </c>
      <c r="J180" s="9">
        <v>5.0</v>
      </c>
    </row>
    <row r="181" ht="15.75" customHeight="1">
      <c r="A181" s="3" t="s">
        <v>189</v>
      </c>
      <c r="B181" s="4">
        <v>9408.0</v>
      </c>
      <c r="C181" s="5">
        <v>6.0</v>
      </c>
      <c r="D181" s="5">
        <v>7.0</v>
      </c>
      <c r="E181" s="6">
        <v>0.29</v>
      </c>
      <c r="F181" s="7">
        <v>18.9</v>
      </c>
      <c r="G181" s="6">
        <v>0.3</v>
      </c>
      <c r="H181" s="8">
        <v>0.044</v>
      </c>
      <c r="I181" s="8">
        <v>0.014894273946</v>
      </c>
      <c r="J181" s="9">
        <v>22.0</v>
      </c>
    </row>
    <row r="182" ht="15.75" customHeight="1">
      <c r="A182" s="3" t="s">
        <v>190</v>
      </c>
      <c r="B182" s="4">
        <v>8880.0</v>
      </c>
      <c r="C182" s="5">
        <v>7.0</v>
      </c>
      <c r="D182" s="5">
        <v>11.0</v>
      </c>
      <c r="E182" s="6">
        <v>0.72</v>
      </c>
      <c r="F182" s="7">
        <v>15.7</v>
      </c>
      <c r="G182" s="6">
        <v>0.3</v>
      </c>
      <c r="H182" s="8">
        <v>0.0732</v>
      </c>
      <c r="I182" s="8">
        <v>0.013536627426</v>
      </c>
      <c r="J182" s="9">
        <v>4.0</v>
      </c>
    </row>
    <row r="183" ht="15.75" customHeight="1">
      <c r="A183" s="3" t="s">
        <v>191</v>
      </c>
      <c r="B183" s="4">
        <v>8256.0</v>
      </c>
      <c r="C183" s="5">
        <v>6.0</v>
      </c>
      <c r="D183" s="5">
        <v>8.0</v>
      </c>
      <c r="E183" s="6">
        <v>0.31</v>
      </c>
      <c r="F183" s="7">
        <v>17.5</v>
      </c>
      <c r="G183" s="6">
        <v>0.3</v>
      </c>
      <c r="H183" s="8">
        <v>0.0708</v>
      </c>
      <c r="I183" s="8">
        <v>0.016472173944</v>
      </c>
      <c r="J183" s="9">
        <v>11.0</v>
      </c>
    </row>
    <row r="184" ht="15.75" customHeight="1">
      <c r="A184" s="3" t="s">
        <v>192</v>
      </c>
      <c r="B184" s="4">
        <v>8148.0</v>
      </c>
      <c r="C184" s="5">
        <v>6.0</v>
      </c>
      <c r="D184" s="5">
        <v>8.0</v>
      </c>
      <c r="E184" s="6">
        <v>0.33</v>
      </c>
      <c r="F184" s="7">
        <v>17.2</v>
      </c>
      <c r="G184" s="6">
        <v>0.3</v>
      </c>
      <c r="H184" s="8">
        <v>0.0432</v>
      </c>
      <c r="I184" s="8">
        <v>0.017461652735999998</v>
      </c>
      <c r="J184" s="9">
        <v>30.0</v>
      </c>
    </row>
    <row r="185" ht="15.75" customHeight="1">
      <c r="A185" s="3" t="s">
        <v>193</v>
      </c>
      <c r="B185" s="4">
        <v>8064.0</v>
      </c>
      <c r="C185" s="5">
        <v>6.0</v>
      </c>
      <c r="D185" s="5">
        <v>33.0</v>
      </c>
      <c r="E185" s="6">
        <v>0.84</v>
      </c>
      <c r="F185" s="7">
        <v>11.7</v>
      </c>
      <c r="G185" s="6">
        <v>0.24</v>
      </c>
      <c r="H185" s="8">
        <v>0.0164</v>
      </c>
      <c r="I185" s="8">
        <v>0.014342800824</v>
      </c>
      <c r="J185" s="9">
        <v>8.0</v>
      </c>
    </row>
    <row r="186" ht="15.75" customHeight="1">
      <c r="A186" s="3" t="s">
        <v>194</v>
      </c>
      <c r="B186" s="4">
        <v>7980.0</v>
      </c>
      <c r="C186" s="5">
        <v>6.0</v>
      </c>
      <c r="D186" s="5">
        <v>33.0</v>
      </c>
      <c r="E186" s="6">
        <v>0.99</v>
      </c>
      <c r="F186" s="7">
        <v>20.8</v>
      </c>
      <c r="G186" s="6">
        <v>0.27</v>
      </c>
      <c r="H186" s="8">
        <v>0.0312</v>
      </c>
      <c r="I186" s="8">
        <v>0.013036999577999999</v>
      </c>
      <c r="J186" s="9">
        <v>4.0</v>
      </c>
    </row>
    <row r="187" ht="15.75" customHeight="1">
      <c r="A187" s="3" t="s">
        <v>195</v>
      </c>
      <c r="B187" s="4">
        <v>7584.0</v>
      </c>
      <c r="C187" s="5">
        <v>6.0</v>
      </c>
      <c r="D187" s="5">
        <v>9.0</v>
      </c>
      <c r="E187" s="6">
        <v>0.12</v>
      </c>
      <c r="F187" s="7">
        <v>25.0</v>
      </c>
      <c r="G187" s="6">
        <v>0.3</v>
      </c>
      <c r="H187" s="8">
        <v>0.0992</v>
      </c>
      <c r="I187" s="8">
        <v>0.014296707378</v>
      </c>
      <c r="J187" s="9">
        <v>17.0</v>
      </c>
    </row>
    <row r="188" ht="15.75" customHeight="1">
      <c r="A188" s="3" t="s">
        <v>196</v>
      </c>
      <c r="B188" s="4">
        <v>7560.0</v>
      </c>
      <c r="C188" s="5">
        <v>3.0</v>
      </c>
      <c r="D188" s="5">
        <v>6.0</v>
      </c>
      <c r="E188" s="6">
        <v>0.24</v>
      </c>
      <c r="F188" s="7">
        <v>14.0</v>
      </c>
      <c r="G188" s="6">
        <v>0.27</v>
      </c>
      <c r="H188" s="8">
        <v>0.0456</v>
      </c>
      <c r="I188" s="8">
        <v>0.010352773356000001</v>
      </c>
      <c r="J188" s="9">
        <v>6.0</v>
      </c>
    </row>
    <row r="189" ht="15.75" customHeight="1">
      <c r="A189" s="3" t="s">
        <v>197</v>
      </c>
      <c r="B189" s="4">
        <v>7440.0</v>
      </c>
      <c r="C189" s="5">
        <v>7.0</v>
      </c>
      <c r="D189" s="5">
        <v>9.0</v>
      </c>
      <c r="E189" s="6">
        <v>0.36</v>
      </c>
      <c r="F189" s="7">
        <v>17.6</v>
      </c>
      <c r="G189" s="6">
        <v>0.29</v>
      </c>
      <c r="H189" s="8">
        <v>0.032</v>
      </c>
      <c r="I189" s="8">
        <v>0.024672238686</v>
      </c>
      <c r="J189" s="9">
        <v>22.0</v>
      </c>
    </row>
    <row r="190" ht="15.75" customHeight="1">
      <c r="A190" s="3" t="s">
        <v>198</v>
      </c>
      <c r="B190" s="4">
        <v>7128.0</v>
      </c>
      <c r="C190" s="5">
        <v>7.0</v>
      </c>
      <c r="D190" s="5">
        <v>8.0</v>
      </c>
      <c r="E190" s="6">
        <v>0.86</v>
      </c>
      <c r="F190" s="7">
        <v>14.2</v>
      </c>
      <c r="G190" s="6">
        <v>0.3</v>
      </c>
      <c r="H190" s="8">
        <v>0.0384</v>
      </c>
      <c r="I190" s="8">
        <v>0.022783063133999998</v>
      </c>
      <c r="J190" s="9">
        <v>21.0</v>
      </c>
    </row>
    <row r="191" ht="15.75" customHeight="1">
      <c r="A191" s="3" t="s">
        <v>199</v>
      </c>
      <c r="B191" s="4">
        <v>7128.0</v>
      </c>
      <c r="C191" s="5">
        <v>7.0</v>
      </c>
      <c r="D191" s="5">
        <v>20.0</v>
      </c>
      <c r="E191" s="6">
        <v>0.69</v>
      </c>
      <c r="F191" s="7">
        <v>18.7</v>
      </c>
      <c r="G191" s="6">
        <v>0.3</v>
      </c>
      <c r="H191" s="8">
        <v>0.036</v>
      </c>
      <c r="I191" s="8">
        <v>0.013478715623999998</v>
      </c>
      <c r="J191" s="9">
        <v>16.0</v>
      </c>
    </row>
    <row r="192" ht="15.75" customHeight="1">
      <c r="A192" s="3" t="s">
        <v>200</v>
      </c>
      <c r="B192" s="4">
        <v>6840.0</v>
      </c>
      <c r="C192" s="5">
        <v>7.0</v>
      </c>
      <c r="D192" s="5">
        <v>16.0</v>
      </c>
      <c r="E192" s="6">
        <v>0.84</v>
      </c>
      <c r="F192" s="7">
        <v>20.4</v>
      </c>
      <c r="G192" s="6">
        <v>0.29</v>
      </c>
      <c r="H192" s="8">
        <v>0.0572</v>
      </c>
      <c r="I192" s="8">
        <v>0.015056923877999999</v>
      </c>
      <c r="J192" s="9">
        <v>14.0</v>
      </c>
    </row>
    <row r="193" ht="15.75" customHeight="1">
      <c r="A193" s="3" t="s">
        <v>201</v>
      </c>
      <c r="B193" s="4">
        <v>6732.0</v>
      </c>
      <c r="C193" s="5">
        <v>7.0</v>
      </c>
      <c r="D193" s="5">
        <v>13.0</v>
      </c>
      <c r="E193" s="6">
        <v>0.82</v>
      </c>
      <c r="F193" s="7">
        <v>15.0</v>
      </c>
      <c r="G193" s="6">
        <v>0.25</v>
      </c>
      <c r="H193" s="8">
        <v>0.088</v>
      </c>
      <c r="I193" s="8">
        <v>0.019217141579999996</v>
      </c>
      <c r="J193" s="9">
        <v>4.0</v>
      </c>
    </row>
    <row r="194" ht="15.75" customHeight="1">
      <c r="A194" s="3" t="s">
        <v>202</v>
      </c>
      <c r="B194" s="4">
        <v>6432.0</v>
      </c>
      <c r="C194" s="5">
        <v>6.0</v>
      </c>
      <c r="D194" s="5">
        <v>32.0</v>
      </c>
      <c r="E194" s="6">
        <v>0.01</v>
      </c>
      <c r="F194" s="7">
        <v>25.0</v>
      </c>
      <c r="G194" s="6">
        <v>0.16</v>
      </c>
      <c r="H194" s="8">
        <v>0.0548</v>
      </c>
      <c r="I194" s="8">
        <v>0.014408406779999999</v>
      </c>
      <c r="J194" s="9">
        <v>6.0</v>
      </c>
    </row>
    <row r="195" ht="15.75" customHeight="1">
      <c r="A195" s="3" t="s">
        <v>203</v>
      </c>
      <c r="B195" s="4">
        <v>6240.0</v>
      </c>
      <c r="C195" s="5">
        <v>7.0</v>
      </c>
      <c r="D195" s="5">
        <v>28.0</v>
      </c>
      <c r="E195" s="6">
        <v>0.85</v>
      </c>
      <c r="F195" s="7">
        <v>16.3</v>
      </c>
      <c r="G195" s="6">
        <v>0.25</v>
      </c>
      <c r="H195" s="8">
        <v>0.048</v>
      </c>
      <c r="I195" s="8">
        <v>0.014463046061999999</v>
      </c>
      <c r="J195" s="9">
        <v>26.0</v>
      </c>
    </row>
    <row r="196" ht="15.75" customHeight="1">
      <c r="A196" s="3" t="s">
        <v>204</v>
      </c>
      <c r="B196" s="4">
        <v>5376.0</v>
      </c>
      <c r="C196" s="5">
        <v>6.0</v>
      </c>
      <c r="D196" s="5">
        <v>26.0</v>
      </c>
      <c r="E196" s="6">
        <v>0.32</v>
      </c>
      <c r="F196" s="7">
        <v>22.0</v>
      </c>
      <c r="G196" s="6">
        <v>0.3</v>
      </c>
      <c r="H196" s="8">
        <v>0.0716</v>
      </c>
      <c r="I196" s="8">
        <v>0.01251165024</v>
      </c>
      <c r="J196" s="9">
        <v>10.0</v>
      </c>
    </row>
    <row r="197" ht="15.75" customHeight="1">
      <c r="A197" s="3" t="s">
        <v>205</v>
      </c>
      <c r="B197" s="4">
        <v>4536.0</v>
      </c>
      <c r="C197" s="5">
        <v>6.0</v>
      </c>
      <c r="D197" s="5">
        <v>55.0</v>
      </c>
      <c r="E197" s="6">
        <v>0.09</v>
      </c>
      <c r="F197" s="7">
        <v>16.4</v>
      </c>
      <c r="G197" s="6">
        <v>0.3</v>
      </c>
      <c r="H197" s="8">
        <v>0.0048</v>
      </c>
      <c r="I197" s="8">
        <v>0.014368164102</v>
      </c>
      <c r="J197" s="9">
        <v>6.0</v>
      </c>
    </row>
    <row r="198" ht="15.75" customHeight="1">
      <c r="A198" s="3" t="s">
        <v>206</v>
      </c>
      <c r="B198" s="4">
        <v>4032.0</v>
      </c>
      <c r="C198" s="5">
        <v>6.0</v>
      </c>
      <c r="D198" s="5">
        <v>9.0</v>
      </c>
      <c r="E198" s="6">
        <v>0.9</v>
      </c>
      <c r="F198" s="7">
        <v>20.9</v>
      </c>
      <c r="G198" s="6">
        <v>0.3</v>
      </c>
      <c r="H198" s="8">
        <v>0.092</v>
      </c>
      <c r="I198" s="8">
        <v>0.013667971271999998</v>
      </c>
      <c r="J198" s="9">
        <v>25.0</v>
      </c>
    </row>
    <row r="199" ht="15.75" customHeight="1">
      <c r="A199" s="3" t="s">
        <v>207</v>
      </c>
      <c r="B199" s="4">
        <v>3264.0</v>
      </c>
      <c r="C199" s="5">
        <v>6.0</v>
      </c>
      <c r="D199" s="5">
        <v>41.0</v>
      </c>
      <c r="E199" s="6">
        <v>0.12</v>
      </c>
      <c r="F199" s="7">
        <v>21.6</v>
      </c>
      <c r="G199" s="6">
        <v>0.26</v>
      </c>
      <c r="H199" s="8">
        <v>0.0808</v>
      </c>
      <c r="I199" s="8">
        <v>0.016318170995999998</v>
      </c>
      <c r="J199" s="9">
        <v>14.0</v>
      </c>
    </row>
    <row r="200" ht="15.75" customHeight="1">
      <c r="A200" s="3" t="s">
        <v>208</v>
      </c>
      <c r="B200" s="4">
        <v>3240.0</v>
      </c>
      <c r="C200" s="5">
        <v>6.0</v>
      </c>
      <c r="D200" s="5">
        <v>7.0</v>
      </c>
      <c r="E200" s="6">
        <v>0.02</v>
      </c>
      <c r="F200" s="7">
        <v>18.3</v>
      </c>
      <c r="G200" s="6">
        <v>0.16</v>
      </c>
      <c r="H200" s="8">
        <v>0.1088</v>
      </c>
      <c r="I200" s="8">
        <v>0.013709469336</v>
      </c>
      <c r="J200" s="9">
        <v>5.0</v>
      </c>
    </row>
    <row r="201" ht="15.75" customHeight="1">
      <c r="A201" s="3" t="s">
        <v>209</v>
      </c>
      <c r="B201" s="4">
        <v>2592.0</v>
      </c>
      <c r="C201" s="5">
        <v>6.0</v>
      </c>
      <c r="D201" s="5">
        <v>38.0</v>
      </c>
      <c r="E201" s="6">
        <v>0.39</v>
      </c>
      <c r="F201" s="7">
        <v>28.3</v>
      </c>
      <c r="G201" s="6">
        <v>0.26</v>
      </c>
      <c r="H201" s="8">
        <v>0.092</v>
      </c>
      <c r="I201" s="8">
        <v>0.01303672452</v>
      </c>
      <c r="J201" s="9">
        <v>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0"/>
  <cols>
    <col customWidth="1" min="1" max="1" width="41.63"/>
    <col customWidth="1" min="2" max="2" width="33.38"/>
  </cols>
  <sheetData>
    <row r="1">
      <c r="A1" s="10" t="s">
        <v>210</v>
      </c>
      <c r="B1" s="11" t="s">
        <v>211</v>
      </c>
    </row>
    <row r="3">
      <c r="A3" s="10" t="s">
        <v>212</v>
      </c>
      <c r="B3" s="10" t="s">
        <v>213</v>
      </c>
      <c r="C3" s="10" t="s">
        <v>214</v>
      </c>
    </row>
    <row r="4">
      <c r="A4" s="11" t="s">
        <v>215</v>
      </c>
      <c r="B4" s="12" t="str">
        <f>IFERROR(__xludf.DUMMYFUNCTION("split(A4,"":"")"),"0 - 17")</f>
        <v>0 - 17</v>
      </c>
      <c r="C4" s="13">
        <f>IFERROR(__xludf.DUMMYFUNCTION("""COMPUTED_VALUE"""),0.23)</f>
        <v>0.23</v>
      </c>
    </row>
    <row r="5">
      <c r="A5" s="11" t="s">
        <v>216</v>
      </c>
      <c r="B5" s="12" t="str">
        <f>IFERROR(__xludf.DUMMYFUNCTION("split(A5,"":"")"),"18 - 24")</f>
        <v>18 - 24</v>
      </c>
      <c r="C5" s="13">
        <f>IFERROR(__xludf.DUMMYFUNCTION("""COMPUTED_VALUE"""),0.15)</f>
        <v>0.15</v>
      </c>
    </row>
    <row r="6">
      <c r="A6" s="11" t="s">
        <v>217</v>
      </c>
      <c r="B6" s="12" t="str">
        <f>IFERROR(__xludf.DUMMYFUNCTION("split(A6,"":"")"),"25 - 34")</f>
        <v>25 - 34</v>
      </c>
      <c r="C6" s="13">
        <f>IFERROR(__xludf.DUMMYFUNCTION("""COMPUTED_VALUE"""),0.33)</f>
        <v>0.33</v>
      </c>
    </row>
    <row r="7">
      <c r="A7" s="11" t="s">
        <v>218</v>
      </c>
      <c r="B7" s="12" t="str">
        <f>IFERROR(__xludf.DUMMYFUNCTION("split(A7,"":"")"),"35 - 64")</f>
        <v>35 - 64</v>
      </c>
      <c r="C7" s="13">
        <f>IFERROR(__xludf.DUMMYFUNCTION("""COMPUTED_VALUE"""),0.19)</f>
        <v>0.19</v>
      </c>
    </row>
    <row r="8">
      <c r="A8" s="11" t="s">
        <v>219</v>
      </c>
      <c r="B8" s="12" t="str">
        <f>IFERROR(__xludf.DUMMYFUNCTION("split(A8,"":"")"),"65+")</f>
        <v>65+</v>
      </c>
      <c r="C8" s="13">
        <f>IFERROR(__xludf.DUMMYFUNCTION("""COMPUTED_VALUE"""),0.1)</f>
        <v>0.1</v>
      </c>
    </row>
    <row r="10">
      <c r="A10" s="10" t="s">
        <v>220</v>
      </c>
      <c r="B10" s="10" t="s">
        <v>221</v>
      </c>
      <c r="C10" s="10" t="s">
        <v>214</v>
      </c>
    </row>
    <row r="11">
      <c r="A11" s="11" t="s">
        <v>222</v>
      </c>
      <c r="B11" s="12" t="str">
        <f>IFERROR(__xludf.DUMMYFUNCTION("split(A11,"":"")"),"Children (U18)")</f>
        <v>Children (U18)</v>
      </c>
      <c r="C11" s="13">
        <f>IFERROR(__xludf.DUMMYFUNCTION("""COMPUTED_VALUE"""),0.23)</f>
        <v>0.23</v>
      </c>
    </row>
    <row r="12">
      <c r="A12" s="11" t="s">
        <v>223</v>
      </c>
      <c r="B12" s="12" t="str">
        <f>IFERROR(__xludf.DUMMYFUNCTION("split(A12,"":"")"),"Post-Secondary Students")</f>
        <v>Post-Secondary Students</v>
      </c>
      <c r="C12" s="13">
        <f>IFERROR(__xludf.DUMMYFUNCTION("""COMPUTED_VALUE"""),0.18)</f>
        <v>0.18</v>
      </c>
    </row>
    <row r="13">
      <c r="A13" s="11" t="s">
        <v>224</v>
      </c>
      <c r="B13" s="12" t="str">
        <f>IFERROR(__xludf.DUMMYFUNCTION("split(A13,"":"")"),"Employed (Full Time)")</f>
        <v>Employed (Full Time)</v>
      </c>
      <c r="C13" s="13">
        <f>IFERROR(__xludf.DUMMYFUNCTION("""COMPUTED_VALUE"""),0.3)</f>
        <v>0.3</v>
      </c>
    </row>
    <row r="14">
      <c r="A14" s="11" t="s">
        <v>225</v>
      </c>
      <c r="B14" s="12" t="str">
        <f>IFERROR(__xludf.DUMMYFUNCTION("split(A14,"":"")"),"Employed (Part Time)")</f>
        <v>Employed (Part Time)</v>
      </c>
      <c r="C14" s="13">
        <f>IFERROR(__xludf.DUMMYFUNCTION("""COMPUTED_VALUE"""),0.16)</f>
        <v>0.16</v>
      </c>
    </row>
    <row r="15">
      <c r="A15" s="11" t="s">
        <v>226</v>
      </c>
      <c r="B15" s="12" t="str">
        <f>IFERROR(__xludf.DUMMYFUNCTION("split(A15,"":"")"),"Unemployed / Stay-at-Home Parents")</f>
        <v>Unemployed / Stay-at-Home Parents</v>
      </c>
      <c r="C15" s="13">
        <f>IFERROR(__xludf.DUMMYFUNCTION("""COMPUTED_VALUE"""),0.05)</f>
        <v>0.05</v>
      </c>
    </row>
    <row r="16">
      <c r="A16" s="11" t="s">
        <v>227</v>
      </c>
      <c r="B16" s="12" t="str">
        <f>IFERROR(__xludf.DUMMYFUNCTION("split(A16,"":"")"),"Retired")</f>
        <v>Retired</v>
      </c>
      <c r="C16" s="13">
        <f>IFERROR(__xludf.DUMMYFUNCTION("""COMPUTED_VALUE"""),0.08)</f>
        <v>0.08</v>
      </c>
    </row>
    <row r="18">
      <c r="A18" s="10" t="s">
        <v>228</v>
      </c>
      <c r="B18" s="10" t="s">
        <v>229</v>
      </c>
      <c r="C18" s="10" t="s">
        <v>214</v>
      </c>
    </row>
    <row r="19">
      <c r="A19" s="11" t="s">
        <v>230</v>
      </c>
      <c r="B19" s="11" t="s">
        <v>231</v>
      </c>
      <c r="C19" s="14">
        <v>0.39</v>
      </c>
    </row>
    <row r="20">
      <c r="A20" s="11" t="s">
        <v>232</v>
      </c>
      <c r="B20" s="11" t="s">
        <v>233</v>
      </c>
      <c r="C20" s="14">
        <v>0.61</v>
      </c>
    </row>
    <row r="22">
      <c r="A22" s="10" t="s">
        <v>234</v>
      </c>
      <c r="B22" s="10" t="s">
        <v>235</v>
      </c>
      <c r="C22" s="10" t="s">
        <v>214</v>
      </c>
    </row>
    <row r="23">
      <c r="A23" s="11" t="s">
        <v>236</v>
      </c>
      <c r="B23" s="12" t="str">
        <f>IFERROR(__xludf.DUMMYFUNCTION("split(A23,"":"")"),"Uber Eats")</f>
        <v>Uber Eats</v>
      </c>
      <c r="C23" s="13">
        <f>IFERROR(__xludf.DUMMYFUNCTION("""COMPUTED_VALUE"""),0.18)</f>
        <v>0.18</v>
      </c>
    </row>
    <row r="24">
      <c r="A24" s="11" t="s">
        <v>237</v>
      </c>
      <c r="B24" s="12" t="str">
        <f>IFERROR(__xludf.DUMMYFUNCTION("split(A24,"":"")"),"Competitor")</f>
        <v>Competitor</v>
      </c>
      <c r="C24" s="13">
        <f>IFERROR(__xludf.DUMMYFUNCTION("""COMPUTED_VALUE"""),0.82)</f>
        <v>0.82</v>
      </c>
    </row>
    <row r="26">
      <c r="A26" s="10" t="s">
        <v>238</v>
      </c>
      <c r="B26" s="10" t="s">
        <v>239</v>
      </c>
      <c r="C26" s="10" t="s">
        <v>240</v>
      </c>
    </row>
    <row r="27">
      <c r="A27" s="11" t="s">
        <v>241</v>
      </c>
      <c r="B27" s="12" t="str">
        <f>IFERROR(__xludf.DUMMYFUNCTION("split(A27,"":"")"),"Uber Eats")</f>
        <v>Uber Eats</v>
      </c>
      <c r="C27" s="12" t="str">
        <f>IFERROR(__xludf.DUMMYFUNCTION("""COMPUTED_VALUE""")," 6 months")</f>
        <v> 6 months</v>
      </c>
    </row>
    <row r="28">
      <c r="A28" s="11" t="s">
        <v>242</v>
      </c>
      <c r="B28" s="12" t="str">
        <f>IFERROR(__xludf.DUMMYFUNCTION("split(A28,"":"")"),"Competitor")</f>
        <v>Competitor</v>
      </c>
      <c r="C28" s="12" t="str">
        <f>IFERROR(__xludf.DUMMYFUNCTION("""COMPUTED_VALUE""")," 24 Months")</f>
        <v> 24 Months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workbookViewId="0"/>
  </sheetViews>
  <sheetFormatPr customHeight="1" defaultColWidth="12.63" defaultRowHeight="15.0"/>
  <cols>
    <col customWidth="1" min="2" max="2" width="64.5"/>
    <col customWidth="1" min="3" max="4" width="60.0"/>
  </cols>
  <sheetData>
    <row r="1">
      <c r="A1" s="10" t="s">
        <v>243</v>
      </c>
      <c r="B1" s="10" t="s">
        <v>244</v>
      </c>
      <c r="C1" s="10" t="s">
        <v>245</v>
      </c>
      <c r="D1" s="10" t="s">
        <v>246</v>
      </c>
    </row>
    <row r="2">
      <c r="A2" s="11" t="s">
        <v>247</v>
      </c>
      <c r="B2" s="15">
        <v>100.0</v>
      </c>
      <c r="C2" s="11" t="s">
        <v>248</v>
      </c>
    </row>
    <row r="3">
      <c r="A3" s="11" t="s">
        <v>249</v>
      </c>
      <c r="B3" s="15">
        <v>35.0</v>
      </c>
      <c r="C3" s="11" t="s">
        <v>250</v>
      </c>
      <c r="D3" s="11" t="s">
        <v>251</v>
      </c>
    </row>
    <row r="4">
      <c r="A4" s="11" t="s">
        <v>252</v>
      </c>
      <c r="B4" s="16">
        <f>sum(B5:B6)</f>
        <v>30</v>
      </c>
      <c r="C4" s="11" t="s">
        <v>253</v>
      </c>
    </row>
    <row r="5">
      <c r="A5" s="11" t="s">
        <v>254</v>
      </c>
      <c r="B5" s="15">
        <v>18.0</v>
      </c>
      <c r="C5" s="11" t="s">
        <v>255</v>
      </c>
      <c r="D5" s="11" t="s">
        <v>256</v>
      </c>
    </row>
    <row r="6">
      <c r="A6" s="11" t="s">
        <v>257</v>
      </c>
      <c r="B6" s="15">
        <v>12.0</v>
      </c>
      <c r="C6" s="11" t="s">
        <v>255</v>
      </c>
      <c r="D6" s="11" t="s">
        <v>258</v>
      </c>
    </row>
    <row r="7">
      <c r="A7" s="11" t="s">
        <v>259</v>
      </c>
      <c r="B7" s="15">
        <v>35.0</v>
      </c>
      <c r="C7" s="11" t="s">
        <v>250</v>
      </c>
      <c r="D7" s="11" t="s">
        <v>260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workbookViewId="0"/>
  </sheetViews>
  <sheetFormatPr customHeight="1" defaultColWidth="12.63" defaultRowHeight="15.0"/>
  <cols>
    <col customWidth="1" min="2" max="2" width="86.63"/>
    <col customWidth="1" min="3" max="3" width="65.75"/>
  </cols>
  <sheetData>
    <row r="1">
      <c r="A1" s="10" t="s">
        <v>261</v>
      </c>
      <c r="B1" s="10" t="s">
        <v>262</v>
      </c>
      <c r="C1" s="10" t="s">
        <v>246</v>
      </c>
    </row>
    <row r="2">
      <c r="A2" s="11" t="s">
        <v>263</v>
      </c>
      <c r="B2" s="17">
        <v>-0.02</v>
      </c>
      <c r="C2" s="16" t="s">
        <v>264</v>
      </c>
    </row>
    <row r="3">
      <c r="A3" s="11" t="s">
        <v>265</v>
      </c>
      <c r="B3" s="18">
        <v>-0.005</v>
      </c>
      <c r="C3" s="16" t="s">
        <v>266</v>
      </c>
    </row>
    <row r="4">
      <c r="A4" s="11" t="s">
        <v>267</v>
      </c>
      <c r="B4" s="17">
        <v>0.02</v>
      </c>
      <c r="C4" s="16" t="s">
        <v>268</v>
      </c>
    </row>
    <row r="5">
      <c r="A5" s="11" t="s">
        <v>269</v>
      </c>
      <c r="B5" s="17">
        <v>0.03</v>
      </c>
      <c r="C5" s="16" t="s">
        <v>270</v>
      </c>
    </row>
    <row r="8">
      <c r="A8" s="10" t="s">
        <v>271</v>
      </c>
      <c r="C8" s="10" t="s">
        <v>246</v>
      </c>
    </row>
    <row r="9">
      <c r="A9" s="11" t="s">
        <v>263</v>
      </c>
      <c r="B9" s="17">
        <v>0.2</v>
      </c>
      <c r="C9" s="16" t="s">
        <v>272</v>
      </c>
    </row>
    <row r="10">
      <c r="A10" s="11" t="s">
        <v>265</v>
      </c>
      <c r="B10" s="17">
        <v>0.1</v>
      </c>
      <c r="C10" s="16" t="s">
        <v>273</v>
      </c>
    </row>
    <row r="11">
      <c r="A11" s="11" t="s">
        <v>267</v>
      </c>
      <c r="B11" s="17">
        <v>-0.05</v>
      </c>
      <c r="C11" s="16" t="s">
        <v>274</v>
      </c>
    </row>
    <row r="12">
      <c r="A12" s="11" t="s">
        <v>269</v>
      </c>
      <c r="B12" s="17">
        <v>-0.15</v>
      </c>
      <c r="C12" s="16" t="s">
        <v>275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5.0"/>
    <col customWidth="1" min="2" max="3" width="14.38"/>
    <col customWidth="1" min="4" max="4" width="13.38"/>
    <col customWidth="1" min="5" max="6" width="14.25"/>
    <col customWidth="1" min="7" max="7" width="16.75"/>
    <col customWidth="1" min="8" max="8" width="26.75"/>
    <col customWidth="1" min="9" max="9" width="16.25"/>
    <col customWidth="1" min="10" max="10" width="23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9"/>
      <c r="L1" s="20" t="s">
        <v>276</v>
      </c>
      <c r="U1" s="21" t="s">
        <v>277</v>
      </c>
    </row>
    <row r="2">
      <c r="A2" s="1" t="str">
        <f t="array" ref="A2:J202">'RAW Restaurant Brands Dataset'!A:J</f>
        <v>Brand Name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 t="s">
        <v>7</v>
      </c>
      <c r="I2" s="2" t="s">
        <v>8</v>
      </c>
      <c r="J2" s="2" t="s">
        <v>9</v>
      </c>
      <c r="K2" s="19" t="s">
        <v>278</v>
      </c>
      <c r="L2" s="22" t="s">
        <v>279</v>
      </c>
      <c r="M2" s="23" t="s">
        <v>280</v>
      </c>
      <c r="N2" s="24" t="s">
        <v>281</v>
      </c>
      <c r="O2" s="25" t="s">
        <v>282</v>
      </c>
      <c r="P2" s="26" t="s">
        <v>283</v>
      </c>
      <c r="Q2" s="26" t="s">
        <v>284</v>
      </c>
      <c r="R2" s="27" t="s">
        <v>285</v>
      </c>
      <c r="S2" s="27" t="s">
        <v>286</v>
      </c>
      <c r="T2" s="27" t="s">
        <v>287</v>
      </c>
      <c r="U2" s="28" t="s">
        <v>288</v>
      </c>
      <c r="V2" s="28" t="s">
        <v>289</v>
      </c>
      <c r="W2" s="28" t="s">
        <v>290</v>
      </c>
      <c r="X2" s="28" t="s">
        <v>291</v>
      </c>
      <c r="Y2" s="28" t="s">
        <v>292</v>
      </c>
      <c r="Z2" s="28" t="s">
        <v>293</v>
      </c>
      <c r="AA2" s="28" t="s">
        <v>294</v>
      </c>
    </row>
    <row r="3">
      <c r="A3" s="3" t="s">
        <v>10</v>
      </c>
      <c r="B3" s="4">
        <v>1068012.0</v>
      </c>
      <c r="C3" s="5">
        <v>482.0</v>
      </c>
      <c r="D3" s="5">
        <v>753.0</v>
      </c>
      <c r="E3" s="6">
        <v>0.69</v>
      </c>
      <c r="F3" s="7">
        <v>16.8</v>
      </c>
      <c r="G3" s="6">
        <v>0.25</v>
      </c>
      <c r="H3" s="8">
        <v>0.0468</v>
      </c>
      <c r="I3" s="8">
        <v>0.028940038949999997</v>
      </c>
      <c r="J3" s="9">
        <v>7.0</v>
      </c>
      <c r="K3" s="29" t="str">
        <f t="shared" ref="K3:K202" si="1">if(C3&gt;20,"Enterprise","SMB")</f>
        <v>Enterprise</v>
      </c>
      <c r="L3" s="30">
        <f t="shared" ref="L3:L202" si="2">F3*G3</f>
        <v>4.2</v>
      </c>
      <c r="M3" s="31">
        <f>PERCENTRANK(B$3:B$202,B3)*'Input Resturant Brands Scoring '!$B$3</f>
        <v>35</v>
      </c>
      <c r="N3" s="32">
        <f>(1-PERCENTRANK(J$3:J$202,J3))*'Input Resturant Brands Scoring '!$B$5</f>
        <v>12.204</v>
      </c>
      <c r="O3" s="31">
        <f>(1-PERCENTRANK(I$3:I$202,I3))*'Input Resturant Brands Scoring '!$B$6</f>
        <v>1.212</v>
      </c>
      <c r="P3" s="31">
        <f t="shared" ref="P3:P202" si="3">sum(N3:O3)</f>
        <v>13.416</v>
      </c>
      <c r="Q3" s="31">
        <f>PERCENTRANK(L$3:L$202,L3)*'Input Resturant Brands Scoring '!$B$7</f>
        <v>5.285</v>
      </c>
      <c r="R3" s="31">
        <f t="shared" ref="R3:R202" si="4">M3+N3+O3+Q3</f>
        <v>53.701</v>
      </c>
      <c r="S3" s="12">
        <f t="shared" ref="S3:S202" si="5">RANK(R3,R$3:R$202,0)</f>
        <v>87</v>
      </c>
      <c r="T3" s="12" t="str">
        <f t="shared" ref="T3:T14" si="6">IF(S3&lt;=10,"S",IF(S3&lt;=50,"A",IF(S3&lt;=150,"B","C")))</f>
        <v>B</v>
      </c>
      <c r="U3" s="33">
        <f t="shared" ref="U3:U202" si="7">G3*F3*B3</f>
        <v>4485650.4</v>
      </c>
      <c r="V3" s="13">
        <f t="shared" ref="V3:V202" si="8">MIN(0.3, MAX(0.1, IF(T3="S", G3-0.02, IF(T3="A", G3-0.005, IF(T3="B", G3+0.02, G3+0.03)))))</f>
        <v>0.27</v>
      </c>
      <c r="W3" s="34">
        <f t="shared" ref="W3:W202" si="9">V3-G3</f>
        <v>0.02</v>
      </c>
      <c r="X3" s="4">
        <f>IF(T3="S", B3*(1+'Input Fee and Elasticity Inputs'!$B$9), IF(T3="A", B3*(1+'Input Fee and Elasticity Inputs'!$B$10), IF(T3="B", B3*(1+'Input Fee and Elasticity Inputs'!$B$11), B3*(1+'Input Fee and Elasticity Inputs'!$B$12))))</f>
        <v>1014611.4</v>
      </c>
      <c r="Y3" s="33">
        <f t="shared" ref="Y3:Y202" si="10">F3*V3</f>
        <v>4.536</v>
      </c>
      <c r="Z3" s="33">
        <f t="shared" ref="Z3:Z202" si="11">Y3*X3</f>
        <v>4602277.31</v>
      </c>
      <c r="AA3" s="33">
        <f t="shared" ref="AA3:AA202" si="12">Z3-U3</f>
        <v>116626.9104</v>
      </c>
    </row>
    <row r="4">
      <c r="A4" s="3" t="s">
        <v>11</v>
      </c>
      <c r="B4" s="4">
        <v>1018080.0</v>
      </c>
      <c r="C4" s="5">
        <v>556.0</v>
      </c>
      <c r="D4" s="5">
        <v>783.0</v>
      </c>
      <c r="E4" s="6">
        <v>0.96</v>
      </c>
      <c r="F4" s="7">
        <v>18.5</v>
      </c>
      <c r="G4" s="6">
        <v>0.17</v>
      </c>
      <c r="H4" s="8">
        <v>0.0652</v>
      </c>
      <c r="I4" s="8">
        <v>0.027053131565999998</v>
      </c>
      <c r="J4" s="9">
        <v>4.0</v>
      </c>
      <c r="K4" s="29" t="str">
        <f t="shared" si="1"/>
        <v>Enterprise</v>
      </c>
      <c r="L4" s="30">
        <f t="shared" si="2"/>
        <v>3.145</v>
      </c>
      <c r="M4" s="31">
        <f>PERCENTRANK(B$3:B$202,B4)*'Input Resturant Brands Scoring '!$B$3</f>
        <v>34.825</v>
      </c>
      <c r="N4" s="32">
        <f>(1-PERCENTRANK(J$3:J$202,J4))*'Input Resturant Brands Scoring '!$B$5</f>
        <v>17.1</v>
      </c>
      <c r="O4" s="31">
        <f>(1-PERCENTRANK(I$3:I$202,I4))*'Input Resturant Brands Scoring '!$B$6</f>
        <v>1.872</v>
      </c>
      <c r="P4" s="31">
        <f t="shared" si="3"/>
        <v>18.972</v>
      </c>
      <c r="Q4" s="31">
        <f>PERCENTRANK(L$3:L$202,L4)*'Input Resturant Brands Scoring '!$B$7</f>
        <v>0.7</v>
      </c>
      <c r="R4" s="31">
        <f t="shared" si="4"/>
        <v>54.497</v>
      </c>
      <c r="S4" s="12">
        <f t="shared" si="5"/>
        <v>82</v>
      </c>
      <c r="T4" s="12" t="str">
        <f t="shared" si="6"/>
        <v>B</v>
      </c>
      <c r="U4" s="33">
        <f t="shared" si="7"/>
        <v>3201861.6</v>
      </c>
      <c r="V4" s="13">
        <f t="shared" si="8"/>
        <v>0.19</v>
      </c>
      <c r="W4" s="34">
        <f t="shared" si="9"/>
        <v>0.02</v>
      </c>
      <c r="X4" s="4">
        <f>IF(T4="S", B4*(1+'Input Fee and Elasticity Inputs'!$B$9), IF(T4="A", B4*(1+'Input Fee and Elasticity Inputs'!$B$10), IF(T4="B", B4*(1+'Input Fee and Elasticity Inputs'!$B$11), B4*(1+'Input Fee and Elasticity Inputs'!$B$12))))</f>
        <v>967176</v>
      </c>
      <c r="Y4" s="33">
        <f t="shared" si="10"/>
        <v>3.515</v>
      </c>
      <c r="Z4" s="33">
        <f t="shared" si="11"/>
        <v>3399623.64</v>
      </c>
      <c r="AA4" s="33">
        <f t="shared" si="12"/>
        <v>197762.04</v>
      </c>
    </row>
    <row r="5">
      <c r="A5" s="3" t="s">
        <v>12</v>
      </c>
      <c r="B5" s="4">
        <v>775008.0</v>
      </c>
      <c r="C5" s="5">
        <v>388.0</v>
      </c>
      <c r="D5" s="5">
        <v>668.0</v>
      </c>
      <c r="E5" s="6">
        <v>0.23</v>
      </c>
      <c r="F5" s="7">
        <v>22.4</v>
      </c>
      <c r="G5" s="6">
        <v>0.3</v>
      </c>
      <c r="H5" s="8">
        <v>0.0736</v>
      </c>
      <c r="I5" s="8">
        <v>0.029747821626</v>
      </c>
      <c r="J5" s="9">
        <v>45.0</v>
      </c>
      <c r="K5" s="29" t="str">
        <f t="shared" si="1"/>
        <v>Enterprise</v>
      </c>
      <c r="L5" s="30">
        <f t="shared" si="2"/>
        <v>6.72</v>
      </c>
      <c r="M5" s="31">
        <f>PERCENTRANK(B$3:B$202,B5)*'Input Resturant Brands Scoring '!$B$3</f>
        <v>34.65</v>
      </c>
      <c r="N5" s="32">
        <f>(1-PERCENTRANK(J$3:J$202,J5))*'Input Resturant Brands Scoring '!$B$5</f>
        <v>0.27</v>
      </c>
      <c r="O5" s="31">
        <f>(1-PERCENTRANK(I$3:I$202,I5))*'Input Resturant Brands Scoring '!$B$6</f>
        <v>0.9</v>
      </c>
      <c r="P5" s="31">
        <f t="shared" si="3"/>
        <v>1.17</v>
      </c>
      <c r="Q5" s="31">
        <f>PERCENTRANK(L$3:L$202,L5)*'Input Resturant Brands Scoring '!$B$7</f>
        <v>27.615</v>
      </c>
      <c r="R5" s="31">
        <f t="shared" si="4"/>
        <v>63.435</v>
      </c>
      <c r="S5" s="12">
        <f t="shared" si="5"/>
        <v>42</v>
      </c>
      <c r="T5" s="12" t="str">
        <f t="shared" si="6"/>
        <v>A</v>
      </c>
      <c r="U5" s="33">
        <f t="shared" si="7"/>
        <v>5208053.76</v>
      </c>
      <c r="V5" s="13">
        <f t="shared" si="8"/>
        <v>0.295</v>
      </c>
      <c r="W5" s="34">
        <f t="shared" si="9"/>
        <v>-0.005</v>
      </c>
      <c r="X5" s="4">
        <f>IF(T5="S", B5*(1+'Input Fee and Elasticity Inputs'!$B$9), IF(T5="A", B5*(1+'Input Fee and Elasticity Inputs'!$B$10), IF(T5="B", B5*(1+'Input Fee and Elasticity Inputs'!$B$11), B5*(1+'Input Fee and Elasticity Inputs'!$B$12))))</f>
        <v>852508.8</v>
      </c>
      <c r="Y5" s="33">
        <f t="shared" si="10"/>
        <v>6.608</v>
      </c>
      <c r="Z5" s="33">
        <f t="shared" si="11"/>
        <v>5633378.15</v>
      </c>
      <c r="AA5" s="33">
        <f t="shared" si="12"/>
        <v>425324.3904</v>
      </c>
    </row>
    <row r="6">
      <c r="A6" s="3" t="s">
        <v>13</v>
      </c>
      <c r="B6" s="4">
        <v>264384.0</v>
      </c>
      <c r="C6" s="5">
        <v>299.0</v>
      </c>
      <c r="D6" s="5">
        <v>320.0</v>
      </c>
      <c r="E6" s="6">
        <v>0.56</v>
      </c>
      <c r="F6" s="7">
        <v>26.0</v>
      </c>
      <c r="G6" s="6">
        <v>0.28</v>
      </c>
      <c r="H6" s="8">
        <v>0.048</v>
      </c>
      <c r="I6" s="8">
        <v>0.029179747818</v>
      </c>
      <c r="J6" s="9">
        <v>21.0</v>
      </c>
      <c r="K6" s="29" t="str">
        <f t="shared" si="1"/>
        <v>Enterprise</v>
      </c>
      <c r="L6" s="30">
        <f t="shared" si="2"/>
        <v>7.28</v>
      </c>
      <c r="M6" s="31">
        <f>PERCENTRANK(B$3:B$202,B6)*'Input Resturant Brands Scoring '!$B$3</f>
        <v>34.475</v>
      </c>
      <c r="N6" s="32">
        <f>(1-PERCENTRANK(J$3:J$202,J6))*'Input Resturant Brands Scoring '!$B$5</f>
        <v>3.348</v>
      </c>
      <c r="O6" s="31">
        <f>(1-PERCENTRANK(I$3:I$202,I6))*'Input Resturant Brands Scoring '!$B$6</f>
        <v>1.02</v>
      </c>
      <c r="P6" s="31">
        <f t="shared" si="3"/>
        <v>4.368</v>
      </c>
      <c r="Q6" s="31">
        <f>PERCENTRANK(L$3:L$202,L6)*'Input Resturant Brands Scoring '!$B$7</f>
        <v>30.065</v>
      </c>
      <c r="R6" s="31">
        <f t="shared" si="4"/>
        <v>68.908</v>
      </c>
      <c r="S6" s="12">
        <f t="shared" si="5"/>
        <v>23</v>
      </c>
      <c r="T6" s="12" t="str">
        <f t="shared" si="6"/>
        <v>A</v>
      </c>
      <c r="U6" s="33">
        <f t="shared" si="7"/>
        <v>1924715.52</v>
      </c>
      <c r="V6" s="13">
        <f t="shared" si="8"/>
        <v>0.275</v>
      </c>
      <c r="W6" s="34">
        <f t="shared" si="9"/>
        <v>-0.005</v>
      </c>
      <c r="X6" s="4">
        <f>IF(T6="S", B6*(1+'Input Fee and Elasticity Inputs'!$B$9), IF(T6="A", B6*(1+'Input Fee and Elasticity Inputs'!$B$10), IF(T6="B", B6*(1+'Input Fee and Elasticity Inputs'!$B$11), B6*(1+'Input Fee and Elasticity Inputs'!$B$12))))</f>
        <v>290822.4</v>
      </c>
      <c r="Y6" s="33">
        <f t="shared" si="10"/>
        <v>7.15</v>
      </c>
      <c r="Z6" s="33">
        <f t="shared" si="11"/>
        <v>2079380.16</v>
      </c>
      <c r="AA6" s="33">
        <f t="shared" si="12"/>
        <v>154664.64</v>
      </c>
    </row>
    <row r="7">
      <c r="A7" s="3" t="s">
        <v>14</v>
      </c>
      <c r="B7" s="4">
        <v>238560.0</v>
      </c>
      <c r="C7" s="5">
        <v>82.0</v>
      </c>
      <c r="D7" s="5">
        <v>191.0</v>
      </c>
      <c r="E7" s="6">
        <v>0.22</v>
      </c>
      <c r="F7" s="7">
        <v>21.7</v>
      </c>
      <c r="G7" s="6">
        <v>0.25</v>
      </c>
      <c r="H7" s="8">
        <v>0.0452</v>
      </c>
      <c r="I7" s="8">
        <v>0.017983438116</v>
      </c>
      <c r="J7" s="9">
        <v>5.0</v>
      </c>
      <c r="K7" s="29" t="str">
        <f t="shared" si="1"/>
        <v>Enterprise</v>
      </c>
      <c r="L7" s="30">
        <f t="shared" si="2"/>
        <v>5.425</v>
      </c>
      <c r="M7" s="31">
        <f>PERCENTRANK(B$3:B$202,B7)*'Input Resturant Brands Scoring '!$B$3</f>
        <v>34.3</v>
      </c>
      <c r="N7" s="32">
        <f>(1-PERCENTRANK(J$3:J$202,J7))*'Input Resturant Brands Scoring '!$B$5</f>
        <v>15.462</v>
      </c>
      <c r="O7" s="31">
        <f>(1-PERCENTRANK(I$3:I$202,I7))*'Input Resturant Brands Scoring '!$B$6</f>
        <v>6.216</v>
      </c>
      <c r="P7" s="31">
        <f t="shared" si="3"/>
        <v>21.678</v>
      </c>
      <c r="Q7" s="31">
        <f>PERCENTRANK(L$3:L$202,L7)*'Input Resturant Brands Scoring '!$B$7</f>
        <v>17.78</v>
      </c>
      <c r="R7" s="31">
        <f t="shared" si="4"/>
        <v>73.758</v>
      </c>
      <c r="S7" s="12">
        <f t="shared" si="5"/>
        <v>9</v>
      </c>
      <c r="T7" s="12" t="str">
        <f t="shared" si="6"/>
        <v>S</v>
      </c>
      <c r="U7" s="33">
        <f t="shared" si="7"/>
        <v>1294188</v>
      </c>
      <c r="V7" s="13">
        <f t="shared" si="8"/>
        <v>0.23</v>
      </c>
      <c r="W7" s="34">
        <f t="shared" si="9"/>
        <v>-0.02</v>
      </c>
      <c r="X7" s="4">
        <f>IF(T7="S", B7*(1+'Input Fee and Elasticity Inputs'!$B$9), IF(T7="A", B7*(1+'Input Fee and Elasticity Inputs'!$B$10), IF(T7="B", B7*(1+'Input Fee and Elasticity Inputs'!$B$11), B7*(1+'Input Fee and Elasticity Inputs'!$B$12))))</f>
        <v>286272</v>
      </c>
      <c r="Y7" s="33">
        <f t="shared" si="10"/>
        <v>4.991</v>
      </c>
      <c r="Z7" s="33">
        <f t="shared" si="11"/>
        <v>1428783.552</v>
      </c>
      <c r="AA7" s="33">
        <f t="shared" si="12"/>
        <v>134595.552</v>
      </c>
    </row>
    <row r="8">
      <c r="A8" s="3" t="s">
        <v>15</v>
      </c>
      <c r="B8" s="4">
        <v>226872.0</v>
      </c>
      <c r="C8" s="5">
        <v>53.0</v>
      </c>
      <c r="D8" s="5">
        <v>58.0</v>
      </c>
      <c r="E8" s="6">
        <v>0.76</v>
      </c>
      <c r="F8" s="7">
        <v>16.6</v>
      </c>
      <c r="G8" s="6">
        <v>0.26</v>
      </c>
      <c r="H8" s="8">
        <v>0.0412</v>
      </c>
      <c r="I8" s="8">
        <v>0.016135534386</v>
      </c>
      <c r="J8" s="9">
        <v>5.0</v>
      </c>
      <c r="K8" s="29" t="str">
        <f t="shared" si="1"/>
        <v>Enterprise</v>
      </c>
      <c r="L8" s="30">
        <f t="shared" si="2"/>
        <v>4.316</v>
      </c>
      <c r="M8" s="31">
        <f>PERCENTRANK(B$3:B$202,B8)*'Input Resturant Brands Scoring '!$B$3</f>
        <v>34.125</v>
      </c>
      <c r="N8" s="32">
        <f>(1-PERCENTRANK(J$3:J$202,J8))*'Input Resturant Brands Scoring '!$B$5</f>
        <v>15.462</v>
      </c>
      <c r="O8" s="31">
        <f>(1-PERCENTRANK(I$3:I$202,I8))*'Input Resturant Brands Scoring '!$B$6</f>
        <v>7.896</v>
      </c>
      <c r="P8" s="31">
        <f t="shared" si="3"/>
        <v>23.358</v>
      </c>
      <c r="Q8" s="31">
        <f>PERCENTRANK(L$3:L$202,L8)*'Input Resturant Brands Scoring '!$B$7</f>
        <v>5.81</v>
      </c>
      <c r="R8" s="31">
        <f t="shared" si="4"/>
        <v>63.293</v>
      </c>
      <c r="S8" s="12">
        <f t="shared" si="5"/>
        <v>44</v>
      </c>
      <c r="T8" s="12" t="str">
        <f t="shared" si="6"/>
        <v>A</v>
      </c>
      <c r="U8" s="33">
        <f t="shared" si="7"/>
        <v>979179.552</v>
      </c>
      <c r="V8" s="13">
        <f t="shared" si="8"/>
        <v>0.255</v>
      </c>
      <c r="W8" s="34">
        <f t="shared" si="9"/>
        <v>-0.005</v>
      </c>
      <c r="X8" s="4">
        <f>IF(T8="S", B8*(1+'Input Fee and Elasticity Inputs'!$B$9), IF(T8="A", B8*(1+'Input Fee and Elasticity Inputs'!$B$10), IF(T8="B", B8*(1+'Input Fee and Elasticity Inputs'!$B$11), B8*(1+'Input Fee and Elasticity Inputs'!$B$12))))</f>
        <v>249559.2</v>
      </c>
      <c r="Y8" s="33">
        <f t="shared" si="10"/>
        <v>4.233</v>
      </c>
      <c r="Z8" s="33">
        <f t="shared" si="11"/>
        <v>1056384.094</v>
      </c>
      <c r="AA8" s="33">
        <f t="shared" si="12"/>
        <v>77204.5416</v>
      </c>
    </row>
    <row r="9">
      <c r="A9" s="3" t="s">
        <v>16</v>
      </c>
      <c r="B9" s="4">
        <v>224136.0</v>
      </c>
      <c r="C9" s="5">
        <v>42.0</v>
      </c>
      <c r="D9" s="5">
        <v>86.0</v>
      </c>
      <c r="E9" s="6">
        <v>0.27</v>
      </c>
      <c r="F9" s="7">
        <v>16.0</v>
      </c>
      <c r="G9" s="6">
        <v>0.3</v>
      </c>
      <c r="H9" s="8">
        <v>0.07</v>
      </c>
      <c r="I9" s="8">
        <v>0.01671272658</v>
      </c>
      <c r="J9" s="9">
        <v>14.0</v>
      </c>
      <c r="K9" s="29" t="str">
        <f t="shared" si="1"/>
        <v>Enterprise</v>
      </c>
      <c r="L9" s="30">
        <f t="shared" si="2"/>
        <v>4.8</v>
      </c>
      <c r="M9" s="31">
        <f>PERCENTRANK(B$3:B$202,B9)*'Input Resturant Brands Scoring '!$B$3</f>
        <v>33.95</v>
      </c>
      <c r="N9" s="32">
        <f>(1-PERCENTRANK(J$3:J$202,J9))*'Input Resturant Brands Scoring '!$B$5</f>
        <v>6.426</v>
      </c>
      <c r="O9" s="31">
        <f>(1-PERCENTRANK(I$3:I$202,I9))*'Input Resturant Brands Scoring '!$B$6</f>
        <v>7.236</v>
      </c>
      <c r="P9" s="31">
        <f t="shared" si="3"/>
        <v>13.662</v>
      </c>
      <c r="Q9" s="31">
        <f>PERCENTRANK(L$3:L$202,L9)*'Input Resturant Brands Scoring '!$B$7</f>
        <v>10.745</v>
      </c>
      <c r="R9" s="31">
        <f t="shared" si="4"/>
        <v>58.357</v>
      </c>
      <c r="S9" s="12">
        <f t="shared" si="5"/>
        <v>60</v>
      </c>
      <c r="T9" s="12" t="str">
        <f t="shared" si="6"/>
        <v>B</v>
      </c>
      <c r="U9" s="33">
        <f t="shared" si="7"/>
        <v>1075852.8</v>
      </c>
      <c r="V9" s="13">
        <f t="shared" si="8"/>
        <v>0.3</v>
      </c>
      <c r="W9" s="34">
        <f t="shared" si="9"/>
        <v>0</v>
      </c>
      <c r="X9" s="4">
        <f>IF(T9="S", B9*(1+'Input Fee and Elasticity Inputs'!$B$9), IF(T9="A", B9*(1+'Input Fee and Elasticity Inputs'!$B$10), IF(T9="B", B9*(1+'Input Fee and Elasticity Inputs'!$B$11), B9*(1+'Input Fee and Elasticity Inputs'!$B$12))))</f>
        <v>212929.2</v>
      </c>
      <c r="Y9" s="33">
        <f t="shared" si="10"/>
        <v>4.8</v>
      </c>
      <c r="Z9" s="33">
        <f t="shared" si="11"/>
        <v>1022060.16</v>
      </c>
      <c r="AA9" s="33">
        <f t="shared" si="12"/>
        <v>-53792.64</v>
      </c>
    </row>
    <row r="10">
      <c r="A10" s="3" t="s">
        <v>17</v>
      </c>
      <c r="B10" s="4">
        <v>221760.0</v>
      </c>
      <c r="C10" s="5">
        <v>72.0</v>
      </c>
      <c r="D10" s="5">
        <v>300.0</v>
      </c>
      <c r="E10" s="6">
        <v>0.37</v>
      </c>
      <c r="F10" s="7">
        <v>15.1</v>
      </c>
      <c r="G10" s="6">
        <v>0.24</v>
      </c>
      <c r="H10" s="8">
        <v>0.0604</v>
      </c>
      <c r="I10" s="8">
        <v>0.014803598087999999</v>
      </c>
      <c r="J10" s="9">
        <v>28.0</v>
      </c>
      <c r="K10" s="29" t="str">
        <f t="shared" si="1"/>
        <v>Enterprise</v>
      </c>
      <c r="L10" s="30">
        <f t="shared" si="2"/>
        <v>3.624</v>
      </c>
      <c r="M10" s="31">
        <f>PERCENTRANK(B$3:B$202,B10)*'Input Resturant Brands Scoring '!$B$3</f>
        <v>33.775</v>
      </c>
      <c r="N10" s="32">
        <f>(1-PERCENTRANK(J$3:J$202,J10))*'Input Resturant Brands Scoring '!$B$5</f>
        <v>1.62</v>
      </c>
      <c r="O10" s="31">
        <f>(1-PERCENTRANK(I$3:I$202,I10))*'Input Resturant Brands Scoring '!$B$6</f>
        <v>8.808</v>
      </c>
      <c r="P10" s="31">
        <f t="shared" si="3"/>
        <v>10.428</v>
      </c>
      <c r="Q10" s="31">
        <f>PERCENTRANK(L$3:L$202,L10)*'Input Resturant Brands Scoring '!$B$7</f>
        <v>1.75</v>
      </c>
      <c r="R10" s="31">
        <f t="shared" si="4"/>
        <v>45.953</v>
      </c>
      <c r="S10" s="12">
        <f t="shared" si="5"/>
        <v>130</v>
      </c>
      <c r="T10" s="12" t="str">
        <f t="shared" si="6"/>
        <v>B</v>
      </c>
      <c r="U10" s="33">
        <f t="shared" si="7"/>
        <v>803658.24</v>
      </c>
      <c r="V10" s="13">
        <f t="shared" si="8"/>
        <v>0.26</v>
      </c>
      <c r="W10" s="34">
        <f t="shared" si="9"/>
        <v>0.02</v>
      </c>
      <c r="X10" s="4">
        <f>IF(T10="S", B10*(1+'Input Fee and Elasticity Inputs'!$B$9), IF(T10="A", B10*(1+'Input Fee and Elasticity Inputs'!$B$10), IF(T10="B", B10*(1+'Input Fee and Elasticity Inputs'!$B$11), B10*(1+'Input Fee and Elasticity Inputs'!$B$12))))</f>
        <v>210672</v>
      </c>
      <c r="Y10" s="33">
        <f t="shared" si="10"/>
        <v>3.926</v>
      </c>
      <c r="Z10" s="33">
        <f t="shared" si="11"/>
        <v>827098.272</v>
      </c>
      <c r="AA10" s="33">
        <f t="shared" si="12"/>
        <v>23440.032</v>
      </c>
    </row>
    <row r="11">
      <c r="A11" s="3" t="s">
        <v>18</v>
      </c>
      <c r="B11" s="4">
        <v>216372.0</v>
      </c>
      <c r="C11" s="5">
        <v>93.0</v>
      </c>
      <c r="D11" s="5">
        <v>930.0</v>
      </c>
      <c r="E11" s="6">
        <v>0.55</v>
      </c>
      <c r="F11" s="7">
        <v>19.8</v>
      </c>
      <c r="G11" s="6">
        <v>0.26</v>
      </c>
      <c r="H11" s="8">
        <v>0.0892</v>
      </c>
      <c r="I11" s="8">
        <v>0.014041634688</v>
      </c>
      <c r="J11" s="9">
        <v>13.0</v>
      </c>
      <c r="K11" s="29" t="str">
        <f t="shared" si="1"/>
        <v>Enterprise</v>
      </c>
      <c r="L11" s="30">
        <f t="shared" si="2"/>
        <v>5.148</v>
      </c>
      <c r="M11" s="31">
        <f>PERCENTRANK(B$3:B$202,B11)*'Input Resturant Brands Scoring '!$B$3</f>
        <v>33.6</v>
      </c>
      <c r="N11" s="32">
        <f>(1-PERCENTRANK(J$3:J$202,J11))*'Input Resturant Brands Scoring '!$B$5</f>
        <v>7.056</v>
      </c>
      <c r="O11" s="31">
        <f>(1-PERCENTRANK(I$3:I$202,I11))*'Input Resturant Brands Scoring '!$B$6</f>
        <v>9.948</v>
      </c>
      <c r="P11" s="31">
        <f t="shared" si="3"/>
        <v>17.004</v>
      </c>
      <c r="Q11" s="31">
        <f>PERCENTRANK(L$3:L$202,L11)*'Input Resturant Brands Scoring '!$B$7</f>
        <v>14.595</v>
      </c>
      <c r="R11" s="31">
        <f t="shared" si="4"/>
        <v>65.199</v>
      </c>
      <c r="S11" s="12">
        <f t="shared" si="5"/>
        <v>35</v>
      </c>
      <c r="T11" s="12" t="str">
        <f t="shared" si="6"/>
        <v>A</v>
      </c>
      <c r="U11" s="33">
        <f t="shared" si="7"/>
        <v>1113883.056</v>
      </c>
      <c r="V11" s="13">
        <f t="shared" si="8"/>
        <v>0.255</v>
      </c>
      <c r="W11" s="34">
        <f t="shared" si="9"/>
        <v>-0.005</v>
      </c>
      <c r="X11" s="4">
        <f>IF(T11="S", B11*(1+'Input Fee and Elasticity Inputs'!$B$9), IF(T11="A", B11*(1+'Input Fee and Elasticity Inputs'!$B$10), IF(T11="B", B11*(1+'Input Fee and Elasticity Inputs'!$B$11), B11*(1+'Input Fee and Elasticity Inputs'!$B$12))))</f>
        <v>238009.2</v>
      </c>
      <c r="Y11" s="33">
        <f t="shared" si="10"/>
        <v>5.049</v>
      </c>
      <c r="Z11" s="33">
        <f t="shared" si="11"/>
        <v>1201708.451</v>
      </c>
      <c r="AA11" s="33">
        <f t="shared" si="12"/>
        <v>87825.3948</v>
      </c>
    </row>
    <row r="12">
      <c r="A12" s="3" t="s">
        <v>19</v>
      </c>
      <c r="B12" s="4">
        <v>215280.0</v>
      </c>
      <c r="C12" s="5">
        <v>41.0</v>
      </c>
      <c r="D12" s="5">
        <v>216.0</v>
      </c>
      <c r="E12" s="6">
        <v>0.93</v>
      </c>
      <c r="F12" s="7">
        <v>17.4</v>
      </c>
      <c r="G12" s="6">
        <v>0.25</v>
      </c>
      <c r="H12" s="8">
        <v>0.0756</v>
      </c>
      <c r="I12" s="8">
        <v>0.01434146691</v>
      </c>
      <c r="J12" s="9">
        <v>37.0</v>
      </c>
      <c r="K12" s="29" t="str">
        <f t="shared" si="1"/>
        <v>Enterprise</v>
      </c>
      <c r="L12" s="30">
        <f t="shared" si="2"/>
        <v>4.35</v>
      </c>
      <c r="M12" s="31">
        <f>PERCENTRANK(B$3:B$202,B12)*'Input Resturant Brands Scoring '!$B$3</f>
        <v>33.425</v>
      </c>
      <c r="N12" s="32">
        <f>(1-PERCENTRANK(J$3:J$202,J12))*'Input Resturant Brands Scoring '!$B$5</f>
        <v>0.81</v>
      </c>
      <c r="O12" s="31">
        <f>(1-PERCENTRANK(I$3:I$202,I12))*'Input Resturant Brands Scoring '!$B$6</f>
        <v>9.288</v>
      </c>
      <c r="P12" s="31">
        <f t="shared" si="3"/>
        <v>10.098</v>
      </c>
      <c r="Q12" s="31">
        <f>PERCENTRANK(L$3:L$202,L12)*'Input Resturant Brands Scoring '!$B$7</f>
        <v>6.51</v>
      </c>
      <c r="R12" s="31">
        <f t="shared" si="4"/>
        <v>50.033</v>
      </c>
      <c r="S12" s="12">
        <f t="shared" si="5"/>
        <v>107</v>
      </c>
      <c r="T12" s="12" t="str">
        <f t="shared" si="6"/>
        <v>B</v>
      </c>
      <c r="U12" s="33">
        <f t="shared" si="7"/>
        <v>936468</v>
      </c>
      <c r="V12" s="13">
        <f t="shared" si="8"/>
        <v>0.27</v>
      </c>
      <c r="W12" s="34">
        <f t="shared" si="9"/>
        <v>0.02</v>
      </c>
      <c r="X12" s="4">
        <f>IF(T12="S", B12*(1+'Input Fee and Elasticity Inputs'!$B$9), IF(T12="A", B12*(1+'Input Fee and Elasticity Inputs'!$B$10), IF(T12="B", B12*(1+'Input Fee and Elasticity Inputs'!$B$11), B12*(1+'Input Fee and Elasticity Inputs'!$B$12))))</f>
        <v>204516</v>
      </c>
      <c r="Y12" s="33">
        <f t="shared" si="10"/>
        <v>4.698</v>
      </c>
      <c r="Z12" s="33">
        <f t="shared" si="11"/>
        <v>960816.168</v>
      </c>
      <c r="AA12" s="33">
        <f t="shared" si="12"/>
        <v>24348.168</v>
      </c>
    </row>
    <row r="13">
      <c r="A13" s="3" t="s">
        <v>20</v>
      </c>
      <c r="B13" s="4">
        <v>211200.0</v>
      </c>
      <c r="C13" s="5">
        <v>38.0</v>
      </c>
      <c r="D13" s="5">
        <v>46.0</v>
      </c>
      <c r="E13" s="6">
        <v>0.68</v>
      </c>
      <c r="F13" s="7">
        <v>21.4</v>
      </c>
      <c r="G13" s="6">
        <v>0.24</v>
      </c>
      <c r="H13" s="8">
        <v>0.0336</v>
      </c>
      <c r="I13" s="8">
        <v>0.013798988556</v>
      </c>
      <c r="J13" s="9">
        <v>3.0</v>
      </c>
      <c r="K13" s="29" t="str">
        <f t="shared" si="1"/>
        <v>Enterprise</v>
      </c>
      <c r="L13" s="30">
        <f t="shared" si="2"/>
        <v>5.136</v>
      </c>
      <c r="M13" s="31">
        <f>PERCENTRANK(B$3:B$202,B13)*'Input Resturant Brands Scoring '!$B$3</f>
        <v>33.25</v>
      </c>
      <c r="N13" s="32">
        <f>(1-PERCENTRANK(J$3:J$202,J13))*'Input Resturant Brands Scoring '!$B$5</f>
        <v>18</v>
      </c>
      <c r="O13" s="31">
        <f>(1-PERCENTRANK(I$3:I$202,I13))*'Input Resturant Brands Scoring '!$B$6</f>
        <v>10.188</v>
      </c>
      <c r="P13" s="31">
        <f t="shared" si="3"/>
        <v>28.188</v>
      </c>
      <c r="Q13" s="31">
        <f>PERCENTRANK(L$3:L$202,L13)*'Input Resturant Brands Scoring '!$B$7</f>
        <v>14.42</v>
      </c>
      <c r="R13" s="31">
        <f t="shared" si="4"/>
        <v>75.858</v>
      </c>
      <c r="S13" s="12">
        <f t="shared" si="5"/>
        <v>7</v>
      </c>
      <c r="T13" s="12" t="str">
        <f t="shared" si="6"/>
        <v>S</v>
      </c>
      <c r="U13" s="33">
        <f t="shared" si="7"/>
        <v>1084723.2</v>
      </c>
      <c r="V13" s="13">
        <f t="shared" si="8"/>
        <v>0.22</v>
      </c>
      <c r="W13" s="34">
        <f t="shared" si="9"/>
        <v>-0.02</v>
      </c>
      <c r="X13" s="4">
        <f>IF(T13="S", B13*(1+'Input Fee and Elasticity Inputs'!$B$9), IF(T13="A", B13*(1+'Input Fee and Elasticity Inputs'!$B$10), IF(T13="B", B13*(1+'Input Fee and Elasticity Inputs'!$B$11), B13*(1+'Input Fee and Elasticity Inputs'!$B$12))))</f>
        <v>253440</v>
      </c>
      <c r="Y13" s="33">
        <f t="shared" si="10"/>
        <v>4.708</v>
      </c>
      <c r="Z13" s="33">
        <f t="shared" si="11"/>
        <v>1193195.52</v>
      </c>
      <c r="AA13" s="33">
        <f t="shared" si="12"/>
        <v>108472.32</v>
      </c>
    </row>
    <row r="14">
      <c r="A14" s="3" t="s">
        <v>21</v>
      </c>
      <c r="B14" s="4">
        <v>209760.0</v>
      </c>
      <c r="C14" s="5">
        <v>98.0</v>
      </c>
      <c r="D14" s="5">
        <v>184.0</v>
      </c>
      <c r="E14" s="6">
        <v>0.59</v>
      </c>
      <c r="F14" s="7">
        <v>25.4</v>
      </c>
      <c r="G14" s="6">
        <v>0.3</v>
      </c>
      <c r="H14" s="8">
        <v>0.0868</v>
      </c>
      <c r="I14" s="8">
        <v>0.031642305042</v>
      </c>
      <c r="J14" s="9">
        <v>34.0</v>
      </c>
      <c r="K14" s="29" t="str">
        <f t="shared" si="1"/>
        <v>Enterprise</v>
      </c>
      <c r="L14" s="30">
        <f t="shared" si="2"/>
        <v>7.62</v>
      </c>
      <c r="M14" s="31">
        <f>PERCENTRANK(B$3:B$202,B14)*'Input Resturant Brands Scoring '!$B$3</f>
        <v>33.075</v>
      </c>
      <c r="N14" s="32">
        <f>(1-PERCENTRANK(J$3:J$202,J14))*'Input Resturant Brands Scoring '!$B$5</f>
        <v>1.08</v>
      </c>
      <c r="O14" s="31">
        <f>(1-PERCENTRANK(I$3:I$202,I14))*'Input Resturant Brands Scoring '!$B$6</f>
        <v>0.48</v>
      </c>
      <c r="P14" s="31">
        <f t="shared" si="3"/>
        <v>1.56</v>
      </c>
      <c r="Q14" s="31">
        <f>PERCENTRANK(L$3:L$202,L14)*'Input Resturant Brands Scoring '!$B$7</f>
        <v>31.85</v>
      </c>
      <c r="R14" s="31">
        <f t="shared" si="4"/>
        <v>66.485</v>
      </c>
      <c r="S14" s="12">
        <f t="shared" si="5"/>
        <v>31</v>
      </c>
      <c r="T14" s="12" t="str">
        <f t="shared" si="6"/>
        <v>A</v>
      </c>
      <c r="U14" s="33">
        <f t="shared" si="7"/>
        <v>1598371.2</v>
      </c>
      <c r="V14" s="13">
        <f t="shared" si="8"/>
        <v>0.295</v>
      </c>
      <c r="W14" s="34">
        <f t="shared" si="9"/>
        <v>-0.005</v>
      </c>
      <c r="X14" s="4">
        <f>IF(T14="S", B14*(1+'Input Fee and Elasticity Inputs'!$B$9), IF(T14="A", B14*(1+'Input Fee and Elasticity Inputs'!$B$10), IF(T14="B", B14*(1+'Input Fee and Elasticity Inputs'!$B$11), B14*(1+'Input Fee and Elasticity Inputs'!$B$12))))</f>
        <v>230736</v>
      </c>
      <c r="Y14" s="33">
        <f t="shared" si="10"/>
        <v>7.493</v>
      </c>
      <c r="Z14" s="33">
        <f t="shared" si="11"/>
        <v>1728904.848</v>
      </c>
      <c r="AA14" s="33">
        <f t="shared" si="12"/>
        <v>130533.648</v>
      </c>
    </row>
    <row r="15">
      <c r="A15" s="3" t="s">
        <v>22</v>
      </c>
      <c r="B15" s="4">
        <v>209088.0</v>
      </c>
      <c r="C15" s="5">
        <v>42.0</v>
      </c>
      <c r="D15" s="5">
        <v>86.0</v>
      </c>
      <c r="E15" s="6">
        <v>0.99</v>
      </c>
      <c r="F15" s="7">
        <v>20.6</v>
      </c>
      <c r="G15" s="6">
        <v>0.29</v>
      </c>
      <c r="H15" s="8">
        <v>0.0368</v>
      </c>
      <c r="I15" s="8">
        <v>0.034377075756</v>
      </c>
      <c r="J15" s="9">
        <v>10.0</v>
      </c>
      <c r="K15" s="29" t="str">
        <f t="shared" si="1"/>
        <v>Enterprise</v>
      </c>
      <c r="L15" s="30">
        <f t="shared" si="2"/>
        <v>5.974</v>
      </c>
      <c r="M15" s="31">
        <f>PERCENTRANK(B$3:B$202,B15)*'Input Resturant Brands Scoring '!$B$3</f>
        <v>32.9</v>
      </c>
      <c r="N15" s="32">
        <f>(1-PERCENTRANK(J$3:J$202,J15))*'Input Resturant Brands Scoring '!$B$5</f>
        <v>9.054</v>
      </c>
      <c r="O15" s="31">
        <f>(1-PERCENTRANK(I$3:I$202,I15))*'Input Resturant Brands Scoring '!$B$6</f>
        <v>0.12</v>
      </c>
      <c r="P15" s="31">
        <f t="shared" si="3"/>
        <v>9.174</v>
      </c>
      <c r="Q15" s="31">
        <f>PERCENTRANK(L$3:L$202,L15)*'Input Resturant Brands Scoring '!$B$7</f>
        <v>22.855</v>
      </c>
      <c r="R15" s="31">
        <f t="shared" si="4"/>
        <v>64.929</v>
      </c>
      <c r="S15" s="12">
        <f t="shared" si="5"/>
        <v>36</v>
      </c>
      <c r="T15" s="12" t="str">
        <f>IF(S15&lt;=25,"S",IF(S15&lt;=50,"A",IF(S15&lt;=150,"B","C")))</f>
        <v>A</v>
      </c>
      <c r="U15" s="33">
        <f t="shared" si="7"/>
        <v>1249091.712</v>
      </c>
      <c r="V15" s="13">
        <f t="shared" si="8"/>
        <v>0.285</v>
      </c>
      <c r="W15" s="34">
        <f t="shared" si="9"/>
        <v>-0.005</v>
      </c>
      <c r="X15" s="4">
        <f>IF(T15="S", B15*(1+'Input Fee and Elasticity Inputs'!$B$9), IF(T15="A", B15*(1+'Input Fee and Elasticity Inputs'!$B$10), IF(T15="B", B15*(1+'Input Fee and Elasticity Inputs'!$B$11), B15*(1+'Input Fee and Elasticity Inputs'!$B$12))))</f>
        <v>229996.8</v>
      </c>
      <c r="Y15" s="33">
        <f t="shared" si="10"/>
        <v>5.871</v>
      </c>
      <c r="Z15" s="33">
        <f t="shared" si="11"/>
        <v>1350311.213</v>
      </c>
      <c r="AA15" s="33">
        <f t="shared" si="12"/>
        <v>101219.5008</v>
      </c>
    </row>
    <row r="16">
      <c r="A16" s="3" t="s">
        <v>23</v>
      </c>
      <c r="B16" s="4">
        <v>209040.0</v>
      </c>
      <c r="C16" s="5">
        <v>41.0</v>
      </c>
      <c r="D16" s="5">
        <v>103.0</v>
      </c>
      <c r="E16" s="6">
        <v>0.28</v>
      </c>
      <c r="F16" s="7">
        <v>34.4</v>
      </c>
      <c r="G16" s="6">
        <v>0.25</v>
      </c>
      <c r="H16" s="8">
        <v>0.1328</v>
      </c>
      <c r="I16" s="8">
        <v>0.031960196466</v>
      </c>
      <c r="J16" s="9">
        <v>24.0</v>
      </c>
      <c r="K16" s="29" t="str">
        <f t="shared" si="1"/>
        <v>Enterprise</v>
      </c>
      <c r="L16" s="30">
        <f t="shared" si="2"/>
        <v>8.6</v>
      </c>
      <c r="M16" s="31">
        <f>PERCENTRANK(B$3:B$202,B16)*'Input Resturant Brands Scoring '!$B$3</f>
        <v>32.725</v>
      </c>
      <c r="N16" s="32">
        <f>(1-PERCENTRANK(J$3:J$202,J16))*'Input Resturant Brands Scoring '!$B$5</f>
        <v>2.448</v>
      </c>
      <c r="O16" s="31">
        <f>(1-PERCENTRANK(I$3:I$202,I16))*'Input Resturant Brands Scoring '!$B$6</f>
        <v>0.42</v>
      </c>
      <c r="P16" s="31">
        <f t="shared" si="3"/>
        <v>2.868</v>
      </c>
      <c r="Q16" s="31">
        <f>PERCENTRANK(L$3:L$202,L16)*'Input Resturant Brands Scoring '!$B$7</f>
        <v>33.775</v>
      </c>
      <c r="R16" s="31">
        <f t="shared" si="4"/>
        <v>69.368</v>
      </c>
      <c r="S16" s="12">
        <f t="shared" si="5"/>
        <v>21</v>
      </c>
      <c r="T16" s="12" t="str">
        <f t="shared" ref="T16:T202" si="13">IF(S16&lt;=10,"S",IF(S16&lt;=50,"A",IF(S16&lt;=150,"B","C")))</f>
        <v>A</v>
      </c>
      <c r="U16" s="33">
        <f t="shared" si="7"/>
        <v>1797744</v>
      </c>
      <c r="V16" s="13">
        <f t="shared" si="8"/>
        <v>0.245</v>
      </c>
      <c r="W16" s="34">
        <f t="shared" si="9"/>
        <v>-0.005</v>
      </c>
      <c r="X16" s="4">
        <f>IF(T16="S", B16*(1+'Input Fee and Elasticity Inputs'!$B$9), IF(T16="A", B16*(1+'Input Fee and Elasticity Inputs'!$B$10), IF(T16="B", B16*(1+'Input Fee and Elasticity Inputs'!$B$11), B16*(1+'Input Fee and Elasticity Inputs'!$B$12))))</f>
        <v>229944</v>
      </c>
      <c r="Y16" s="33">
        <f t="shared" si="10"/>
        <v>8.428</v>
      </c>
      <c r="Z16" s="33">
        <f t="shared" si="11"/>
        <v>1937968.032</v>
      </c>
      <c r="AA16" s="33">
        <f t="shared" si="12"/>
        <v>140224.032</v>
      </c>
    </row>
    <row r="17">
      <c r="A17" s="3" t="s">
        <v>24</v>
      </c>
      <c r="B17" s="4">
        <v>183120.0</v>
      </c>
      <c r="C17" s="5">
        <v>65.0</v>
      </c>
      <c r="D17" s="5">
        <v>73.0</v>
      </c>
      <c r="E17" s="6">
        <v>0.46</v>
      </c>
      <c r="F17" s="7">
        <v>20.2</v>
      </c>
      <c r="G17" s="6">
        <v>0.27</v>
      </c>
      <c r="H17" s="8">
        <v>0.0912</v>
      </c>
      <c r="I17" s="8">
        <v>0.032994187794</v>
      </c>
      <c r="J17" s="9">
        <v>20.0</v>
      </c>
      <c r="K17" s="29" t="str">
        <f t="shared" si="1"/>
        <v>Enterprise</v>
      </c>
      <c r="L17" s="30">
        <f t="shared" si="2"/>
        <v>5.454</v>
      </c>
      <c r="M17" s="31">
        <f>PERCENTRANK(B$3:B$202,B17)*'Input Resturant Brands Scoring '!$B$3</f>
        <v>32.55</v>
      </c>
      <c r="N17" s="32">
        <f>(1-PERCENTRANK(J$3:J$202,J17))*'Input Resturant Brands Scoring '!$B$5</f>
        <v>3.528</v>
      </c>
      <c r="O17" s="31">
        <f>(1-PERCENTRANK(I$3:I$202,I17))*'Input Resturant Brands Scoring '!$B$6</f>
        <v>0.24</v>
      </c>
      <c r="P17" s="31">
        <f t="shared" si="3"/>
        <v>3.768</v>
      </c>
      <c r="Q17" s="31">
        <f>PERCENTRANK(L$3:L$202,L17)*'Input Resturant Brands Scoring '!$B$7</f>
        <v>18.305</v>
      </c>
      <c r="R17" s="31">
        <f t="shared" si="4"/>
        <v>54.623</v>
      </c>
      <c r="S17" s="12">
        <f t="shared" si="5"/>
        <v>78</v>
      </c>
      <c r="T17" s="12" t="str">
        <f t="shared" si="13"/>
        <v>B</v>
      </c>
      <c r="U17" s="33">
        <f t="shared" si="7"/>
        <v>998736.48</v>
      </c>
      <c r="V17" s="13">
        <f t="shared" si="8"/>
        <v>0.29</v>
      </c>
      <c r="W17" s="34">
        <f t="shared" si="9"/>
        <v>0.02</v>
      </c>
      <c r="X17" s="4">
        <f>IF(T17="S", B17*(1+'Input Fee and Elasticity Inputs'!$B$9), IF(T17="A", B17*(1+'Input Fee and Elasticity Inputs'!$B$10), IF(T17="B", B17*(1+'Input Fee and Elasticity Inputs'!$B$11), B17*(1+'Input Fee and Elasticity Inputs'!$B$12))))</f>
        <v>173964</v>
      </c>
      <c r="Y17" s="33">
        <f t="shared" si="10"/>
        <v>5.858</v>
      </c>
      <c r="Z17" s="33">
        <f t="shared" si="11"/>
        <v>1019081.112</v>
      </c>
      <c r="AA17" s="33">
        <f t="shared" si="12"/>
        <v>20344.632</v>
      </c>
    </row>
    <row r="18">
      <c r="A18" s="3" t="s">
        <v>25</v>
      </c>
      <c r="B18" s="4">
        <v>173052.0</v>
      </c>
      <c r="C18" s="5">
        <v>51.0</v>
      </c>
      <c r="D18" s="5">
        <v>204.0</v>
      </c>
      <c r="E18" s="6">
        <v>0.84</v>
      </c>
      <c r="F18" s="7">
        <v>13.7</v>
      </c>
      <c r="G18" s="6">
        <v>0.3</v>
      </c>
      <c r="H18" s="8">
        <v>0.0692</v>
      </c>
      <c r="I18" s="8">
        <v>0.014296290474</v>
      </c>
      <c r="J18" s="9">
        <v>18.0</v>
      </c>
      <c r="K18" s="29" t="str">
        <f t="shared" si="1"/>
        <v>Enterprise</v>
      </c>
      <c r="L18" s="30">
        <f t="shared" si="2"/>
        <v>4.11</v>
      </c>
      <c r="M18" s="31">
        <f>PERCENTRANK(B$3:B$202,B18)*'Input Resturant Brands Scoring '!$B$3</f>
        <v>32.375</v>
      </c>
      <c r="N18" s="32">
        <f>(1-PERCENTRANK(J$3:J$202,J18))*'Input Resturant Brands Scoring '!$B$5</f>
        <v>3.978</v>
      </c>
      <c r="O18" s="31">
        <f>(1-PERCENTRANK(I$3:I$202,I18))*'Input Resturant Brands Scoring '!$B$6</f>
        <v>9.468</v>
      </c>
      <c r="P18" s="31">
        <f t="shared" si="3"/>
        <v>13.446</v>
      </c>
      <c r="Q18" s="31">
        <f>PERCENTRANK(L$3:L$202,L18)*'Input Resturant Brands Scoring '!$B$7</f>
        <v>4.585</v>
      </c>
      <c r="R18" s="31">
        <f t="shared" si="4"/>
        <v>50.406</v>
      </c>
      <c r="S18" s="12">
        <f t="shared" si="5"/>
        <v>102</v>
      </c>
      <c r="T18" s="12" t="str">
        <f t="shared" si="13"/>
        <v>B</v>
      </c>
      <c r="U18" s="33">
        <f t="shared" si="7"/>
        <v>711243.72</v>
      </c>
      <c r="V18" s="13">
        <f t="shared" si="8"/>
        <v>0.3</v>
      </c>
      <c r="W18" s="34">
        <f t="shared" si="9"/>
        <v>0</v>
      </c>
      <c r="X18" s="4">
        <f>IF(T18="S", B18*(1+'Input Fee and Elasticity Inputs'!$B$9), IF(T18="A", B18*(1+'Input Fee and Elasticity Inputs'!$B$10), IF(T18="B", B18*(1+'Input Fee and Elasticity Inputs'!$B$11), B18*(1+'Input Fee and Elasticity Inputs'!$B$12))))</f>
        <v>164399.4</v>
      </c>
      <c r="Y18" s="33">
        <f t="shared" si="10"/>
        <v>4.11</v>
      </c>
      <c r="Z18" s="33">
        <f t="shared" si="11"/>
        <v>675681.534</v>
      </c>
      <c r="AA18" s="33">
        <f t="shared" si="12"/>
        <v>-35562.186</v>
      </c>
    </row>
    <row r="19">
      <c r="A19" s="3" t="s">
        <v>26</v>
      </c>
      <c r="B19" s="4">
        <v>170448.0</v>
      </c>
      <c r="C19" s="5">
        <v>43.0</v>
      </c>
      <c r="D19" s="5">
        <v>74.0</v>
      </c>
      <c r="E19" s="6">
        <v>0.49</v>
      </c>
      <c r="F19" s="7">
        <v>21.6</v>
      </c>
      <c r="G19" s="6">
        <v>0.3</v>
      </c>
      <c r="H19" s="8">
        <v>0.09</v>
      </c>
      <c r="I19" s="8">
        <v>0.023684085233999997</v>
      </c>
      <c r="J19" s="9">
        <v>25.0</v>
      </c>
      <c r="K19" s="29" t="str">
        <f t="shared" si="1"/>
        <v>Enterprise</v>
      </c>
      <c r="L19" s="30">
        <f t="shared" si="2"/>
        <v>6.48</v>
      </c>
      <c r="M19" s="31">
        <f>PERCENTRANK(B$3:B$202,B19)*'Input Resturant Brands Scoring '!$B$3</f>
        <v>32.2</v>
      </c>
      <c r="N19" s="32">
        <f>(1-PERCENTRANK(J$3:J$202,J19))*'Input Resturant Brands Scoring '!$B$5</f>
        <v>2.358</v>
      </c>
      <c r="O19" s="31">
        <f>(1-PERCENTRANK(I$3:I$202,I19))*'Input Resturant Brands Scoring '!$B$6</f>
        <v>3.252</v>
      </c>
      <c r="P19" s="31">
        <f t="shared" si="3"/>
        <v>5.61</v>
      </c>
      <c r="Q19" s="31">
        <f>PERCENTRANK(L$3:L$202,L19)*'Input Resturant Brands Scoring '!$B$7</f>
        <v>25.515</v>
      </c>
      <c r="R19" s="31">
        <f t="shared" si="4"/>
        <v>63.325</v>
      </c>
      <c r="S19" s="12">
        <f t="shared" si="5"/>
        <v>43</v>
      </c>
      <c r="T19" s="12" t="str">
        <f t="shared" si="13"/>
        <v>A</v>
      </c>
      <c r="U19" s="33">
        <f t="shared" si="7"/>
        <v>1104503.04</v>
      </c>
      <c r="V19" s="13">
        <f t="shared" si="8"/>
        <v>0.295</v>
      </c>
      <c r="W19" s="34">
        <f t="shared" si="9"/>
        <v>-0.005</v>
      </c>
      <c r="X19" s="4">
        <f>IF(T19="S", B19*(1+'Input Fee and Elasticity Inputs'!$B$9), IF(T19="A", B19*(1+'Input Fee and Elasticity Inputs'!$B$10), IF(T19="B", B19*(1+'Input Fee and Elasticity Inputs'!$B$11), B19*(1+'Input Fee and Elasticity Inputs'!$B$12))))</f>
        <v>187492.8</v>
      </c>
      <c r="Y19" s="33">
        <f t="shared" si="10"/>
        <v>6.372</v>
      </c>
      <c r="Z19" s="33">
        <f t="shared" si="11"/>
        <v>1194704.122</v>
      </c>
      <c r="AA19" s="33">
        <f t="shared" si="12"/>
        <v>90201.0816</v>
      </c>
    </row>
    <row r="20">
      <c r="A20" s="3" t="s">
        <v>27</v>
      </c>
      <c r="B20" s="4">
        <v>165396.0</v>
      </c>
      <c r="C20" s="5">
        <v>143.0</v>
      </c>
      <c r="D20" s="5">
        <v>318.0</v>
      </c>
      <c r="E20" s="6">
        <v>0.56</v>
      </c>
      <c r="F20" s="7">
        <v>21.7</v>
      </c>
      <c r="G20" s="6">
        <v>0.3</v>
      </c>
      <c r="H20" s="8">
        <v>0.0512</v>
      </c>
      <c r="I20" s="8">
        <v>0.024804924635999998</v>
      </c>
      <c r="J20" s="9">
        <v>17.0</v>
      </c>
      <c r="K20" s="29" t="str">
        <f t="shared" si="1"/>
        <v>Enterprise</v>
      </c>
      <c r="L20" s="30">
        <f t="shared" si="2"/>
        <v>6.51</v>
      </c>
      <c r="M20" s="31">
        <f>PERCENTRANK(B$3:B$202,B20)*'Input Resturant Brands Scoring '!$B$3</f>
        <v>32.025</v>
      </c>
      <c r="N20" s="32">
        <f>(1-PERCENTRANK(J$3:J$202,J20))*'Input Resturant Brands Scoring '!$B$5</f>
        <v>4.608</v>
      </c>
      <c r="O20" s="31">
        <f>(1-PERCENTRANK(I$3:I$202,I20))*'Input Resturant Brands Scoring '!$B$6</f>
        <v>2.532</v>
      </c>
      <c r="P20" s="31">
        <f t="shared" si="3"/>
        <v>7.14</v>
      </c>
      <c r="Q20" s="31">
        <f>PERCENTRANK(L$3:L$202,L20)*'Input Resturant Brands Scoring '!$B$7</f>
        <v>26.04</v>
      </c>
      <c r="R20" s="31">
        <f t="shared" si="4"/>
        <v>65.205</v>
      </c>
      <c r="S20" s="12">
        <f t="shared" si="5"/>
        <v>34</v>
      </c>
      <c r="T20" s="12" t="str">
        <f t="shared" si="13"/>
        <v>A</v>
      </c>
      <c r="U20" s="33">
        <f t="shared" si="7"/>
        <v>1076727.96</v>
      </c>
      <c r="V20" s="13">
        <f t="shared" si="8"/>
        <v>0.295</v>
      </c>
      <c r="W20" s="34">
        <f t="shared" si="9"/>
        <v>-0.005</v>
      </c>
      <c r="X20" s="4">
        <f>IF(T20="S", B20*(1+'Input Fee and Elasticity Inputs'!$B$9), IF(T20="A", B20*(1+'Input Fee and Elasticity Inputs'!$B$10), IF(T20="B", B20*(1+'Input Fee and Elasticity Inputs'!$B$11), B20*(1+'Input Fee and Elasticity Inputs'!$B$12))))</f>
        <v>181935.6</v>
      </c>
      <c r="Y20" s="33">
        <f t="shared" si="10"/>
        <v>6.4015</v>
      </c>
      <c r="Z20" s="33">
        <f t="shared" si="11"/>
        <v>1164660.743</v>
      </c>
      <c r="AA20" s="33">
        <f t="shared" si="12"/>
        <v>87932.7834</v>
      </c>
    </row>
    <row r="21">
      <c r="A21" s="3" t="s">
        <v>28</v>
      </c>
      <c r="B21" s="4">
        <v>161568.0</v>
      </c>
      <c r="C21" s="5">
        <v>90.0</v>
      </c>
      <c r="D21" s="5">
        <v>126.0</v>
      </c>
      <c r="E21" s="6">
        <v>0.35</v>
      </c>
      <c r="F21" s="7">
        <v>22.1</v>
      </c>
      <c r="G21" s="6">
        <v>0.23</v>
      </c>
      <c r="H21" s="8">
        <v>0.0864</v>
      </c>
      <c r="I21" s="8">
        <v>0.023886064002</v>
      </c>
      <c r="J21" s="9">
        <v>5.0</v>
      </c>
      <c r="K21" s="29" t="str">
        <f t="shared" si="1"/>
        <v>Enterprise</v>
      </c>
      <c r="L21" s="30">
        <f t="shared" si="2"/>
        <v>5.083</v>
      </c>
      <c r="M21" s="31">
        <f>PERCENTRANK(B$3:B$202,B21)*'Input Resturant Brands Scoring '!$B$3</f>
        <v>31.85</v>
      </c>
      <c r="N21" s="32">
        <f>(1-PERCENTRANK(J$3:J$202,J21))*'Input Resturant Brands Scoring '!$B$5</f>
        <v>15.462</v>
      </c>
      <c r="O21" s="31">
        <f>(1-PERCENTRANK(I$3:I$202,I21))*'Input Resturant Brands Scoring '!$B$6</f>
        <v>3.072</v>
      </c>
      <c r="P21" s="31">
        <f t="shared" si="3"/>
        <v>18.534</v>
      </c>
      <c r="Q21" s="31">
        <f>PERCENTRANK(L$3:L$202,L21)*'Input Resturant Brands Scoring '!$B$7</f>
        <v>13.37</v>
      </c>
      <c r="R21" s="31">
        <f t="shared" si="4"/>
        <v>63.754</v>
      </c>
      <c r="S21" s="12">
        <f t="shared" si="5"/>
        <v>40</v>
      </c>
      <c r="T21" s="12" t="str">
        <f t="shared" si="13"/>
        <v>A</v>
      </c>
      <c r="U21" s="33">
        <f t="shared" si="7"/>
        <v>821250.144</v>
      </c>
      <c r="V21" s="13">
        <f t="shared" si="8"/>
        <v>0.225</v>
      </c>
      <c r="W21" s="34">
        <f t="shared" si="9"/>
        <v>-0.005</v>
      </c>
      <c r="X21" s="4">
        <f>IF(T21="S", B21*(1+'Input Fee and Elasticity Inputs'!$B$9), IF(T21="A", B21*(1+'Input Fee and Elasticity Inputs'!$B$10), IF(T21="B", B21*(1+'Input Fee and Elasticity Inputs'!$B$11), B21*(1+'Input Fee and Elasticity Inputs'!$B$12))))</f>
        <v>177724.8</v>
      </c>
      <c r="Y21" s="33">
        <f t="shared" si="10"/>
        <v>4.9725</v>
      </c>
      <c r="Z21" s="33">
        <f t="shared" si="11"/>
        <v>883736.568</v>
      </c>
      <c r="AA21" s="33">
        <f t="shared" si="12"/>
        <v>62486.424</v>
      </c>
    </row>
    <row r="22">
      <c r="A22" s="3" t="s">
        <v>29</v>
      </c>
      <c r="B22" s="4">
        <v>155220.0</v>
      </c>
      <c r="C22" s="5">
        <v>40.0</v>
      </c>
      <c r="D22" s="5">
        <v>80.0</v>
      </c>
      <c r="E22" s="6">
        <v>0.95</v>
      </c>
      <c r="F22" s="7">
        <v>17.9</v>
      </c>
      <c r="G22" s="6">
        <v>0.26</v>
      </c>
      <c r="H22" s="8">
        <v>0.0312</v>
      </c>
      <c r="I22" s="8">
        <v>0.022966624692</v>
      </c>
      <c r="J22" s="9">
        <v>6.0</v>
      </c>
      <c r="K22" s="29" t="str">
        <f t="shared" si="1"/>
        <v>Enterprise</v>
      </c>
      <c r="L22" s="30">
        <f t="shared" si="2"/>
        <v>4.654</v>
      </c>
      <c r="M22" s="31">
        <f>PERCENTRANK(B$3:B$202,B22)*'Input Resturant Brands Scoring '!$B$3</f>
        <v>31.675</v>
      </c>
      <c r="N22" s="32">
        <f>(1-PERCENTRANK(J$3:J$202,J22))*'Input Resturant Brands Scoring '!$B$5</f>
        <v>14.022</v>
      </c>
      <c r="O22" s="31">
        <f>(1-PERCENTRANK(I$3:I$202,I22))*'Input Resturant Brands Scoring '!$B$6</f>
        <v>3.864</v>
      </c>
      <c r="P22" s="31">
        <f t="shared" si="3"/>
        <v>17.886</v>
      </c>
      <c r="Q22" s="31">
        <f>PERCENTRANK(L$3:L$202,L22)*'Input Resturant Brands Scoring '!$B$7</f>
        <v>9.485</v>
      </c>
      <c r="R22" s="31">
        <f t="shared" si="4"/>
        <v>59.046</v>
      </c>
      <c r="S22" s="12">
        <f t="shared" si="5"/>
        <v>55</v>
      </c>
      <c r="T22" s="12" t="str">
        <f t="shared" si="13"/>
        <v>B</v>
      </c>
      <c r="U22" s="33">
        <f t="shared" si="7"/>
        <v>722393.88</v>
      </c>
      <c r="V22" s="13">
        <f t="shared" si="8"/>
        <v>0.28</v>
      </c>
      <c r="W22" s="34">
        <f t="shared" si="9"/>
        <v>0.02</v>
      </c>
      <c r="X22" s="4">
        <f>IF(T22="S", B22*(1+'Input Fee and Elasticity Inputs'!$B$9), IF(T22="A", B22*(1+'Input Fee and Elasticity Inputs'!$B$10), IF(T22="B", B22*(1+'Input Fee and Elasticity Inputs'!$B$11), B22*(1+'Input Fee and Elasticity Inputs'!$B$12))))</f>
        <v>147459</v>
      </c>
      <c r="Y22" s="33">
        <f t="shared" si="10"/>
        <v>5.012</v>
      </c>
      <c r="Z22" s="33">
        <f t="shared" si="11"/>
        <v>739064.508</v>
      </c>
      <c r="AA22" s="33">
        <f t="shared" si="12"/>
        <v>16670.628</v>
      </c>
    </row>
    <row r="23">
      <c r="A23" s="3" t="s">
        <v>30</v>
      </c>
      <c r="B23" s="4">
        <v>149760.0</v>
      </c>
      <c r="C23" s="5">
        <v>37.0</v>
      </c>
      <c r="D23" s="5">
        <v>58.0</v>
      </c>
      <c r="E23" s="6">
        <v>0.28</v>
      </c>
      <c r="F23" s="7">
        <v>22.0</v>
      </c>
      <c r="G23" s="6">
        <v>0.3</v>
      </c>
      <c r="H23" s="8">
        <v>0.0836</v>
      </c>
      <c r="I23" s="8">
        <v>0.021695328684</v>
      </c>
      <c r="J23" s="9">
        <v>9.0</v>
      </c>
      <c r="K23" s="29" t="str">
        <f t="shared" si="1"/>
        <v>Enterprise</v>
      </c>
      <c r="L23" s="30">
        <f t="shared" si="2"/>
        <v>6.6</v>
      </c>
      <c r="M23" s="31">
        <f>PERCENTRANK(B$3:B$202,B23)*'Input Resturant Brands Scoring '!$B$3</f>
        <v>31.465</v>
      </c>
      <c r="N23" s="32">
        <f>(1-PERCENTRANK(J$3:J$202,J23))*'Input Resturant Brands Scoring '!$B$5</f>
        <v>10.044</v>
      </c>
      <c r="O23" s="31">
        <f>(1-PERCENTRANK(I$3:I$202,I23))*'Input Resturant Brands Scoring '!$B$6</f>
        <v>4.584</v>
      </c>
      <c r="P23" s="31">
        <f t="shared" si="3"/>
        <v>14.628</v>
      </c>
      <c r="Q23" s="31">
        <f>PERCENTRANK(L$3:L$202,L23)*'Input Resturant Brands Scoring '!$B$7</f>
        <v>26.39</v>
      </c>
      <c r="R23" s="31">
        <f t="shared" si="4"/>
        <v>72.483</v>
      </c>
      <c r="S23" s="12">
        <f t="shared" si="5"/>
        <v>12</v>
      </c>
      <c r="T23" s="12" t="str">
        <f t="shared" si="13"/>
        <v>A</v>
      </c>
      <c r="U23" s="33">
        <f t="shared" si="7"/>
        <v>988416</v>
      </c>
      <c r="V23" s="13">
        <f t="shared" si="8"/>
        <v>0.295</v>
      </c>
      <c r="W23" s="34">
        <f t="shared" si="9"/>
        <v>-0.005</v>
      </c>
      <c r="X23" s="4">
        <f>IF(T23="S", B23*(1+'Input Fee and Elasticity Inputs'!$B$9), IF(T23="A", B23*(1+'Input Fee and Elasticity Inputs'!$B$10), IF(T23="B", B23*(1+'Input Fee and Elasticity Inputs'!$B$11), B23*(1+'Input Fee and Elasticity Inputs'!$B$12))))</f>
        <v>164736</v>
      </c>
      <c r="Y23" s="33">
        <f t="shared" si="10"/>
        <v>6.49</v>
      </c>
      <c r="Z23" s="33">
        <f t="shared" si="11"/>
        <v>1069136.64</v>
      </c>
      <c r="AA23" s="33">
        <f t="shared" si="12"/>
        <v>80720.64</v>
      </c>
    </row>
    <row r="24">
      <c r="A24" s="3" t="s">
        <v>31</v>
      </c>
      <c r="B24" s="4">
        <v>148800.0</v>
      </c>
      <c r="C24" s="5">
        <v>190.0</v>
      </c>
      <c r="D24" s="5">
        <v>1188.0</v>
      </c>
      <c r="E24" s="6">
        <v>0.4</v>
      </c>
      <c r="F24" s="7">
        <v>19.8</v>
      </c>
      <c r="G24" s="6">
        <v>0.26</v>
      </c>
      <c r="H24" s="8">
        <v>0.0456</v>
      </c>
      <c r="I24" s="8">
        <v>0.022888125528</v>
      </c>
      <c r="J24" s="9">
        <v>8.0</v>
      </c>
      <c r="K24" s="29" t="str">
        <f t="shared" si="1"/>
        <v>Enterprise</v>
      </c>
      <c r="L24" s="30">
        <f t="shared" si="2"/>
        <v>5.148</v>
      </c>
      <c r="M24" s="31">
        <f>PERCENTRANK(B$3:B$202,B24)*'Input Resturant Brands Scoring '!$B$3</f>
        <v>31.29</v>
      </c>
      <c r="N24" s="32">
        <f>(1-PERCENTRANK(J$3:J$202,J24))*'Input Resturant Brands Scoring '!$B$5</f>
        <v>11.574</v>
      </c>
      <c r="O24" s="31">
        <f>(1-PERCENTRANK(I$3:I$202,I24))*'Input Resturant Brands Scoring '!$B$6</f>
        <v>3.924</v>
      </c>
      <c r="P24" s="31">
        <f t="shared" si="3"/>
        <v>15.498</v>
      </c>
      <c r="Q24" s="31">
        <f>PERCENTRANK(L$3:L$202,L24)*'Input Resturant Brands Scoring '!$B$7</f>
        <v>14.595</v>
      </c>
      <c r="R24" s="31">
        <f t="shared" si="4"/>
        <v>61.383</v>
      </c>
      <c r="S24" s="12">
        <f t="shared" si="5"/>
        <v>50</v>
      </c>
      <c r="T24" s="12" t="str">
        <f t="shared" si="13"/>
        <v>A</v>
      </c>
      <c r="U24" s="33">
        <f t="shared" si="7"/>
        <v>766022.4</v>
      </c>
      <c r="V24" s="13">
        <f t="shared" si="8"/>
        <v>0.255</v>
      </c>
      <c r="W24" s="34">
        <f t="shared" si="9"/>
        <v>-0.005</v>
      </c>
      <c r="X24" s="4">
        <f>IF(T24="S", B24*(1+'Input Fee and Elasticity Inputs'!$B$9), IF(T24="A", B24*(1+'Input Fee and Elasticity Inputs'!$B$10), IF(T24="B", B24*(1+'Input Fee and Elasticity Inputs'!$B$11), B24*(1+'Input Fee and Elasticity Inputs'!$B$12))))</f>
        <v>163680</v>
      </c>
      <c r="Y24" s="33">
        <f t="shared" si="10"/>
        <v>5.049</v>
      </c>
      <c r="Z24" s="33">
        <f t="shared" si="11"/>
        <v>826420.32</v>
      </c>
      <c r="AA24" s="33">
        <f t="shared" si="12"/>
        <v>60397.92</v>
      </c>
    </row>
    <row r="25">
      <c r="A25" s="3" t="s">
        <v>32</v>
      </c>
      <c r="B25" s="4">
        <v>145392.0</v>
      </c>
      <c r="C25" s="5">
        <v>27.0</v>
      </c>
      <c r="D25" s="5">
        <v>34.0</v>
      </c>
      <c r="E25" s="6">
        <v>0.34</v>
      </c>
      <c r="F25" s="7">
        <v>26.4</v>
      </c>
      <c r="G25" s="6">
        <v>0.26</v>
      </c>
      <c r="H25" s="8">
        <v>0.0848</v>
      </c>
      <c r="I25" s="8">
        <v>0.023045459118</v>
      </c>
      <c r="J25" s="9">
        <v>9.0</v>
      </c>
      <c r="K25" s="29" t="str">
        <f t="shared" si="1"/>
        <v>Enterprise</v>
      </c>
      <c r="L25" s="30">
        <f t="shared" si="2"/>
        <v>6.864</v>
      </c>
      <c r="M25" s="31">
        <f>PERCENTRANK(B$3:B$202,B25)*'Input Resturant Brands Scoring '!$B$3</f>
        <v>31.115</v>
      </c>
      <c r="N25" s="32">
        <f>(1-PERCENTRANK(J$3:J$202,J25))*'Input Resturant Brands Scoring '!$B$5</f>
        <v>10.044</v>
      </c>
      <c r="O25" s="31">
        <f>(1-PERCENTRANK(I$3:I$202,I25))*'Input Resturant Brands Scoring '!$B$6</f>
        <v>3.804</v>
      </c>
      <c r="P25" s="31">
        <f t="shared" si="3"/>
        <v>13.848</v>
      </c>
      <c r="Q25" s="31">
        <f>PERCENTRANK(L$3:L$202,L25)*'Input Resturant Brands Scoring '!$B$7</f>
        <v>28.315</v>
      </c>
      <c r="R25" s="31">
        <f t="shared" si="4"/>
        <v>73.278</v>
      </c>
      <c r="S25" s="12">
        <f t="shared" si="5"/>
        <v>10</v>
      </c>
      <c r="T25" s="12" t="str">
        <f t="shared" si="13"/>
        <v>S</v>
      </c>
      <c r="U25" s="33">
        <f t="shared" si="7"/>
        <v>997970.688</v>
      </c>
      <c r="V25" s="13">
        <f t="shared" si="8"/>
        <v>0.24</v>
      </c>
      <c r="W25" s="34">
        <f t="shared" si="9"/>
        <v>-0.02</v>
      </c>
      <c r="X25" s="4">
        <f>IF(T25="S", B25*(1+'Input Fee and Elasticity Inputs'!$B$9), IF(T25="A", B25*(1+'Input Fee and Elasticity Inputs'!$B$10), IF(T25="B", B25*(1+'Input Fee and Elasticity Inputs'!$B$11), B25*(1+'Input Fee and Elasticity Inputs'!$B$12))))</f>
        <v>174470.4</v>
      </c>
      <c r="Y25" s="33">
        <f t="shared" si="10"/>
        <v>6.336</v>
      </c>
      <c r="Z25" s="33">
        <f t="shared" si="11"/>
        <v>1105444.454</v>
      </c>
      <c r="AA25" s="33">
        <f t="shared" si="12"/>
        <v>107473.7664</v>
      </c>
    </row>
    <row r="26">
      <c r="A26" s="3" t="s">
        <v>33</v>
      </c>
      <c r="B26" s="4">
        <v>138528.0</v>
      </c>
      <c r="C26" s="5">
        <v>27.0</v>
      </c>
      <c r="D26" s="5">
        <v>38.0</v>
      </c>
      <c r="E26" s="6">
        <v>0.47</v>
      </c>
      <c r="F26" s="7">
        <v>16.2</v>
      </c>
      <c r="G26" s="6">
        <v>0.22</v>
      </c>
      <c r="H26" s="8">
        <v>0.0832</v>
      </c>
      <c r="I26" s="8">
        <v>0.022515171078</v>
      </c>
      <c r="J26" s="9">
        <v>5.0</v>
      </c>
      <c r="K26" s="29" t="str">
        <f t="shared" si="1"/>
        <v>Enterprise</v>
      </c>
      <c r="L26" s="30">
        <f t="shared" si="2"/>
        <v>3.564</v>
      </c>
      <c r="M26" s="31">
        <f>PERCENTRANK(B$3:B$202,B26)*'Input Resturant Brands Scoring '!$B$3</f>
        <v>30.94</v>
      </c>
      <c r="N26" s="32">
        <f>(1-PERCENTRANK(J$3:J$202,J26))*'Input Resturant Brands Scoring '!$B$5</f>
        <v>15.462</v>
      </c>
      <c r="O26" s="31">
        <f>(1-PERCENTRANK(I$3:I$202,I26))*'Input Resturant Brands Scoring '!$B$6</f>
        <v>4.104</v>
      </c>
      <c r="P26" s="31">
        <f t="shared" si="3"/>
        <v>19.566</v>
      </c>
      <c r="Q26" s="31">
        <f>PERCENTRANK(L$3:L$202,L26)*'Input Resturant Brands Scoring '!$B$7</f>
        <v>1.575</v>
      </c>
      <c r="R26" s="31">
        <f t="shared" si="4"/>
        <v>52.081</v>
      </c>
      <c r="S26" s="12">
        <f t="shared" si="5"/>
        <v>95</v>
      </c>
      <c r="T26" s="12" t="str">
        <f t="shared" si="13"/>
        <v>B</v>
      </c>
      <c r="U26" s="33">
        <f t="shared" si="7"/>
        <v>493713.792</v>
      </c>
      <c r="V26" s="13">
        <f t="shared" si="8"/>
        <v>0.24</v>
      </c>
      <c r="W26" s="34">
        <f t="shared" si="9"/>
        <v>0.02</v>
      </c>
      <c r="X26" s="4">
        <f>IF(T26="S", B26*(1+'Input Fee and Elasticity Inputs'!$B$9), IF(T26="A", B26*(1+'Input Fee and Elasticity Inputs'!$B$10), IF(T26="B", B26*(1+'Input Fee and Elasticity Inputs'!$B$11), B26*(1+'Input Fee and Elasticity Inputs'!$B$12))))</f>
        <v>131601.6</v>
      </c>
      <c r="Y26" s="33">
        <f t="shared" si="10"/>
        <v>3.888</v>
      </c>
      <c r="Z26" s="33">
        <f t="shared" si="11"/>
        <v>511667.0208</v>
      </c>
      <c r="AA26" s="33">
        <f t="shared" si="12"/>
        <v>17953.2288</v>
      </c>
    </row>
    <row r="27">
      <c r="A27" s="3" t="s">
        <v>34</v>
      </c>
      <c r="B27" s="4">
        <v>134400.0</v>
      </c>
      <c r="C27" s="5">
        <v>19.0</v>
      </c>
      <c r="D27" s="5">
        <v>51.0</v>
      </c>
      <c r="E27" s="6">
        <v>0.59</v>
      </c>
      <c r="F27" s="7">
        <v>18.0</v>
      </c>
      <c r="G27" s="6">
        <v>0.3</v>
      </c>
      <c r="H27" s="8">
        <v>0.086</v>
      </c>
      <c r="I27" s="8">
        <v>0.032553005784</v>
      </c>
      <c r="J27" s="9">
        <v>55.0</v>
      </c>
      <c r="K27" s="29" t="str">
        <f t="shared" si="1"/>
        <v>SMB</v>
      </c>
      <c r="L27" s="30">
        <f t="shared" si="2"/>
        <v>5.4</v>
      </c>
      <c r="M27" s="31">
        <f>PERCENTRANK(B$3:B$202,B27)*'Input Resturant Brands Scoring '!$B$3</f>
        <v>30.765</v>
      </c>
      <c r="N27" s="32">
        <f>(1-PERCENTRANK(J$3:J$202,J27))*'Input Resturant Brands Scoring '!$B$5</f>
        <v>0.09</v>
      </c>
      <c r="O27" s="31">
        <f>(1-PERCENTRANK(I$3:I$202,I27))*'Input Resturant Brands Scoring '!$B$6</f>
        <v>0.3</v>
      </c>
      <c r="P27" s="31">
        <f t="shared" si="3"/>
        <v>0.39</v>
      </c>
      <c r="Q27" s="31">
        <f>PERCENTRANK(L$3:L$202,L27)*'Input Resturant Brands Scoring '!$B$7</f>
        <v>17.045</v>
      </c>
      <c r="R27" s="31">
        <f t="shared" si="4"/>
        <v>48.2</v>
      </c>
      <c r="S27" s="12">
        <f t="shared" si="5"/>
        <v>114</v>
      </c>
      <c r="T27" s="12" t="str">
        <f t="shared" si="13"/>
        <v>B</v>
      </c>
      <c r="U27" s="33">
        <f t="shared" si="7"/>
        <v>725760</v>
      </c>
      <c r="V27" s="13">
        <f t="shared" si="8"/>
        <v>0.3</v>
      </c>
      <c r="W27" s="34">
        <f t="shared" si="9"/>
        <v>0</v>
      </c>
      <c r="X27" s="4">
        <f>IF(T27="S", B27*(1+'Input Fee and Elasticity Inputs'!$B$9), IF(T27="A", B27*(1+'Input Fee and Elasticity Inputs'!$B$10), IF(T27="B", B27*(1+'Input Fee and Elasticity Inputs'!$B$11), B27*(1+'Input Fee and Elasticity Inputs'!$B$12))))</f>
        <v>127680</v>
      </c>
      <c r="Y27" s="33">
        <f t="shared" si="10"/>
        <v>5.4</v>
      </c>
      <c r="Z27" s="33">
        <f t="shared" si="11"/>
        <v>689472</v>
      </c>
      <c r="AA27" s="33">
        <f t="shared" si="12"/>
        <v>-36288</v>
      </c>
    </row>
    <row r="28">
      <c r="A28" s="3" t="s">
        <v>35</v>
      </c>
      <c r="B28" s="4">
        <v>132432.0</v>
      </c>
      <c r="C28" s="5">
        <v>33.0</v>
      </c>
      <c r="D28" s="5">
        <v>79.0</v>
      </c>
      <c r="E28" s="6">
        <v>0.76</v>
      </c>
      <c r="F28" s="7">
        <v>16.4</v>
      </c>
      <c r="G28" s="6">
        <v>0.24</v>
      </c>
      <c r="H28" s="8">
        <v>0.0908</v>
      </c>
      <c r="I28" s="8">
        <v>0.032513974662</v>
      </c>
      <c r="J28" s="9">
        <v>3.0</v>
      </c>
      <c r="K28" s="29" t="str">
        <f t="shared" si="1"/>
        <v>Enterprise</v>
      </c>
      <c r="L28" s="30">
        <f t="shared" si="2"/>
        <v>3.936</v>
      </c>
      <c r="M28" s="31">
        <f>PERCENTRANK(B$3:B$202,B28)*'Input Resturant Brands Scoring '!$B$3</f>
        <v>30.59</v>
      </c>
      <c r="N28" s="32">
        <f>(1-PERCENTRANK(J$3:J$202,J28))*'Input Resturant Brands Scoring '!$B$5</f>
        <v>18</v>
      </c>
      <c r="O28" s="31">
        <f>(1-PERCENTRANK(I$3:I$202,I28))*'Input Resturant Brands Scoring '!$B$6</f>
        <v>0.36</v>
      </c>
      <c r="P28" s="31">
        <f t="shared" si="3"/>
        <v>18.36</v>
      </c>
      <c r="Q28" s="31">
        <f>PERCENTRANK(L$3:L$202,L28)*'Input Resturant Brands Scoring '!$B$7</f>
        <v>3.535</v>
      </c>
      <c r="R28" s="31">
        <f t="shared" si="4"/>
        <v>52.485</v>
      </c>
      <c r="S28" s="12">
        <f t="shared" si="5"/>
        <v>92</v>
      </c>
      <c r="T28" s="12" t="str">
        <f t="shared" si="13"/>
        <v>B</v>
      </c>
      <c r="U28" s="33">
        <f t="shared" si="7"/>
        <v>521252.352</v>
      </c>
      <c r="V28" s="13">
        <f t="shared" si="8"/>
        <v>0.26</v>
      </c>
      <c r="W28" s="34">
        <f t="shared" si="9"/>
        <v>0.02</v>
      </c>
      <c r="X28" s="4">
        <f>IF(T28="S", B28*(1+'Input Fee and Elasticity Inputs'!$B$9), IF(T28="A", B28*(1+'Input Fee and Elasticity Inputs'!$B$10), IF(T28="B", B28*(1+'Input Fee and Elasticity Inputs'!$B$11), B28*(1+'Input Fee and Elasticity Inputs'!$B$12))))</f>
        <v>125810.4</v>
      </c>
      <c r="Y28" s="33">
        <f t="shared" si="10"/>
        <v>4.264</v>
      </c>
      <c r="Z28" s="33">
        <f t="shared" si="11"/>
        <v>536455.5456</v>
      </c>
      <c r="AA28" s="33">
        <f t="shared" si="12"/>
        <v>15203.1936</v>
      </c>
    </row>
    <row r="29">
      <c r="A29" s="3" t="s">
        <v>36</v>
      </c>
      <c r="B29" s="4">
        <v>130464.0</v>
      </c>
      <c r="C29" s="5">
        <v>86.0</v>
      </c>
      <c r="D29" s="5">
        <v>112.0</v>
      </c>
      <c r="E29" s="6">
        <v>0.14</v>
      </c>
      <c r="F29" s="7">
        <v>19.1</v>
      </c>
      <c r="G29" s="6">
        <v>0.3</v>
      </c>
      <c r="H29" s="8">
        <v>0.0448</v>
      </c>
      <c r="I29" s="8">
        <v>0.033518878775999995</v>
      </c>
      <c r="J29" s="9">
        <v>14.0</v>
      </c>
      <c r="K29" s="29" t="str">
        <f t="shared" si="1"/>
        <v>Enterprise</v>
      </c>
      <c r="L29" s="30">
        <f t="shared" si="2"/>
        <v>5.73</v>
      </c>
      <c r="M29" s="31">
        <f>PERCENTRANK(B$3:B$202,B29)*'Input Resturant Brands Scoring '!$B$3</f>
        <v>30.415</v>
      </c>
      <c r="N29" s="32">
        <f>(1-PERCENTRANK(J$3:J$202,J29))*'Input Resturant Brands Scoring '!$B$5</f>
        <v>6.426</v>
      </c>
      <c r="O29" s="31">
        <f>(1-PERCENTRANK(I$3:I$202,I29))*'Input Resturant Brands Scoring '!$B$6</f>
        <v>0.18</v>
      </c>
      <c r="P29" s="31">
        <f t="shared" si="3"/>
        <v>6.606</v>
      </c>
      <c r="Q29" s="31">
        <f>PERCENTRANK(L$3:L$202,L29)*'Input Resturant Brands Scoring '!$B$7</f>
        <v>20.93</v>
      </c>
      <c r="R29" s="31">
        <f t="shared" si="4"/>
        <v>57.951</v>
      </c>
      <c r="S29" s="12">
        <f t="shared" si="5"/>
        <v>61</v>
      </c>
      <c r="T29" s="12" t="str">
        <f t="shared" si="13"/>
        <v>B</v>
      </c>
      <c r="U29" s="33">
        <f t="shared" si="7"/>
        <v>747558.72</v>
      </c>
      <c r="V29" s="13">
        <f t="shared" si="8"/>
        <v>0.3</v>
      </c>
      <c r="W29" s="34">
        <f t="shared" si="9"/>
        <v>0</v>
      </c>
      <c r="X29" s="4">
        <f>IF(T29="S", B29*(1+'Input Fee and Elasticity Inputs'!$B$9), IF(T29="A", B29*(1+'Input Fee and Elasticity Inputs'!$B$10), IF(T29="B", B29*(1+'Input Fee and Elasticity Inputs'!$B$11), B29*(1+'Input Fee and Elasticity Inputs'!$B$12))))</f>
        <v>123940.8</v>
      </c>
      <c r="Y29" s="33">
        <f t="shared" si="10"/>
        <v>5.73</v>
      </c>
      <c r="Z29" s="33">
        <f t="shared" si="11"/>
        <v>710180.784</v>
      </c>
      <c r="AA29" s="33">
        <f t="shared" si="12"/>
        <v>-37377.936</v>
      </c>
    </row>
    <row r="30">
      <c r="A30" s="3" t="s">
        <v>37</v>
      </c>
      <c r="B30" s="4">
        <v>128640.0</v>
      </c>
      <c r="C30" s="5">
        <v>19.0</v>
      </c>
      <c r="D30" s="5">
        <v>41.0</v>
      </c>
      <c r="E30" s="6">
        <v>0.16</v>
      </c>
      <c r="F30" s="7">
        <v>18.4</v>
      </c>
      <c r="G30" s="6">
        <v>0.24</v>
      </c>
      <c r="H30" s="8">
        <v>0.0552</v>
      </c>
      <c r="I30" s="8">
        <v>0.021084184061999998</v>
      </c>
      <c r="J30" s="9">
        <v>7.0</v>
      </c>
      <c r="K30" s="29" t="str">
        <f t="shared" si="1"/>
        <v>SMB</v>
      </c>
      <c r="L30" s="30">
        <f t="shared" si="2"/>
        <v>4.416</v>
      </c>
      <c r="M30" s="31">
        <f>PERCENTRANK(B$3:B$202,B30)*'Input Resturant Brands Scoring '!$B$3</f>
        <v>30.24</v>
      </c>
      <c r="N30" s="32">
        <f>(1-PERCENTRANK(J$3:J$202,J30))*'Input Resturant Brands Scoring '!$B$5</f>
        <v>12.204</v>
      </c>
      <c r="O30" s="31">
        <f>(1-PERCENTRANK(I$3:I$202,I30))*'Input Resturant Brands Scoring '!$B$6</f>
        <v>4.884</v>
      </c>
      <c r="P30" s="31">
        <f t="shared" si="3"/>
        <v>17.088</v>
      </c>
      <c r="Q30" s="31">
        <f>PERCENTRANK(L$3:L$202,L30)*'Input Resturant Brands Scoring '!$B$7</f>
        <v>7.21</v>
      </c>
      <c r="R30" s="31">
        <f t="shared" si="4"/>
        <v>54.538</v>
      </c>
      <c r="S30" s="12">
        <f t="shared" si="5"/>
        <v>80</v>
      </c>
      <c r="T30" s="12" t="str">
        <f t="shared" si="13"/>
        <v>B</v>
      </c>
      <c r="U30" s="33">
        <f t="shared" si="7"/>
        <v>568074.24</v>
      </c>
      <c r="V30" s="13">
        <f t="shared" si="8"/>
        <v>0.26</v>
      </c>
      <c r="W30" s="34">
        <f t="shared" si="9"/>
        <v>0.02</v>
      </c>
      <c r="X30" s="4">
        <f>IF(T30="S", B30*(1+'Input Fee and Elasticity Inputs'!$B$9), IF(T30="A", B30*(1+'Input Fee and Elasticity Inputs'!$B$10), IF(T30="B", B30*(1+'Input Fee and Elasticity Inputs'!$B$11), B30*(1+'Input Fee and Elasticity Inputs'!$B$12))))</f>
        <v>122208</v>
      </c>
      <c r="Y30" s="33">
        <f t="shared" si="10"/>
        <v>4.784</v>
      </c>
      <c r="Z30" s="33">
        <f t="shared" si="11"/>
        <v>584643.072</v>
      </c>
      <c r="AA30" s="33">
        <f t="shared" si="12"/>
        <v>16568.832</v>
      </c>
    </row>
    <row r="31">
      <c r="A31" s="3" t="s">
        <v>38</v>
      </c>
      <c r="B31" s="4">
        <v>123000.0</v>
      </c>
      <c r="C31" s="5">
        <v>22.0</v>
      </c>
      <c r="D31" s="5">
        <v>26.0</v>
      </c>
      <c r="E31" s="6">
        <v>0.8</v>
      </c>
      <c r="F31" s="7">
        <v>16.0</v>
      </c>
      <c r="G31" s="6">
        <v>0.3</v>
      </c>
      <c r="H31" s="8">
        <v>0.0864</v>
      </c>
      <c r="I31" s="8">
        <v>0.029173719629999997</v>
      </c>
      <c r="J31" s="9">
        <v>25.0</v>
      </c>
      <c r="K31" s="29" t="str">
        <f t="shared" si="1"/>
        <v>Enterprise</v>
      </c>
      <c r="L31" s="30">
        <f t="shared" si="2"/>
        <v>4.8</v>
      </c>
      <c r="M31" s="31">
        <f>PERCENTRANK(B$3:B$202,B31)*'Input Resturant Brands Scoring '!$B$3</f>
        <v>30.065</v>
      </c>
      <c r="N31" s="32">
        <f>(1-PERCENTRANK(J$3:J$202,J31))*'Input Resturant Brands Scoring '!$B$5</f>
        <v>2.358</v>
      </c>
      <c r="O31" s="31">
        <f>(1-PERCENTRANK(I$3:I$202,I31))*'Input Resturant Brands Scoring '!$B$6</f>
        <v>1.08</v>
      </c>
      <c r="P31" s="31">
        <f t="shared" si="3"/>
        <v>3.438</v>
      </c>
      <c r="Q31" s="31">
        <f>PERCENTRANK(L$3:L$202,L31)*'Input Resturant Brands Scoring '!$B$7</f>
        <v>10.745</v>
      </c>
      <c r="R31" s="31">
        <f t="shared" si="4"/>
        <v>44.248</v>
      </c>
      <c r="S31" s="12">
        <f t="shared" si="5"/>
        <v>135</v>
      </c>
      <c r="T31" s="12" t="str">
        <f t="shared" si="13"/>
        <v>B</v>
      </c>
      <c r="U31" s="33">
        <f t="shared" si="7"/>
        <v>590400</v>
      </c>
      <c r="V31" s="13">
        <f t="shared" si="8"/>
        <v>0.3</v>
      </c>
      <c r="W31" s="34">
        <f t="shared" si="9"/>
        <v>0</v>
      </c>
      <c r="X31" s="4">
        <f>IF(T31="S", B31*(1+'Input Fee and Elasticity Inputs'!$B$9), IF(T31="A", B31*(1+'Input Fee and Elasticity Inputs'!$B$10), IF(T31="B", B31*(1+'Input Fee and Elasticity Inputs'!$B$11), B31*(1+'Input Fee and Elasticity Inputs'!$B$12))))</f>
        <v>116850</v>
      </c>
      <c r="Y31" s="33">
        <f t="shared" si="10"/>
        <v>4.8</v>
      </c>
      <c r="Z31" s="33">
        <f t="shared" si="11"/>
        <v>560880</v>
      </c>
      <c r="AA31" s="33">
        <f t="shared" si="12"/>
        <v>-29520</v>
      </c>
    </row>
    <row r="32">
      <c r="A32" s="3" t="s">
        <v>39</v>
      </c>
      <c r="B32" s="4">
        <v>121680.0</v>
      </c>
      <c r="C32" s="5">
        <v>19.0</v>
      </c>
      <c r="D32" s="5">
        <v>33.0</v>
      </c>
      <c r="E32" s="6">
        <v>1.0</v>
      </c>
      <c r="F32" s="35">
        <v>19.1</v>
      </c>
      <c r="G32" s="6">
        <v>0.26</v>
      </c>
      <c r="H32" s="8">
        <v>0.0324</v>
      </c>
      <c r="I32" s="8">
        <v>0.031311133704</v>
      </c>
      <c r="J32" s="9">
        <v>9.0</v>
      </c>
      <c r="K32" s="29" t="str">
        <f t="shared" si="1"/>
        <v>SMB</v>
      </c>
      <c r="L32" s="30">
        <f t="shared" si="2"/>
        <v>4.966</v>
      </c>
      <c r="M32" s="31">
        <f>PERCENTRANK(B$3:B$202,B32)*'Input Resturant Brands Scoring '!$B$3</f>
        <v>29.89</v>
      </c>
      <c r="N32" s="32">
        <f>(1-PERCENTRANK(J$3:J$202,J32))*'Input Resturant Brands Scoring '!$B$5</f>
        <v>10.044</v>
      </c>
      <c r="O32" s="31">
        <f>(1-PERCENTRANK(I$3:I$202,I32))*'Input Resturant Brands Scoring '!$B$6</f>
        <v>0.54</v>
      </c>
      <c r="P32" s="31">
        <f t="shared" si="3"/>
        <v>10.584</v>
      </c>
      <c r="Q32" s="31">
        <f>PERCENTRANK(L$3:L$202,L32)*'Input Resturant Brands Scoring '!$B$7</f>
        <v>12.32</v>
      </c>
      <c r="R32" s="31">
        <f t="shared" si="4"/>
        <v>52.794</v>
      </c>
      <c r="S32" s="12">
        <f t="shared" si="5"/>
        <v>91</v>
      </c>
      <c r="T32" s="12" t="str">
        <f t="shared" si="13"/>
        <v>B</v>
      </c>
      <c r="U32" s="33">
        <f t="shared" si="7"/>
        <v>604262.88</v>
      </c>
      <c r="V32" s="13">
        <f t="shared" si="8"/>
        <v>0.28</v>
      </c>
      <c r="W32" s="34">
        <f t="shared" si="9"/>
        <v>0.02</v>
      </c>
      <c r="X32" s="4">
        <f>IF(T32="S", B32*(1+'Input Fee and Elasticity Inputs'!$B$9), IF(T32="A", B32*(1+'Input Fee and Elasticity Inputs'!$B$10), IF(T32="B", B32*(1+'Input Fee and Elasticity Inputs'!$B$11), B32*(1+'Input Fee and Elasticity Inputs'!$B$12))))</f>
        <v>115596</v>
      </c>
      <c r="Y32" s="33">
        <f t="shared" si="10"/>
        <v>5.348</v>
      </c>
      <c r="Z32" s="33">
        <f t="shared" si="11"/>
        <v>618207.408</v>
      </c>
      <c r="AA32" s="33">
        <f t="shared" si="12"/>
        <v>13944.528</v>
      </c>
    </row>
    <row r="33">
      <c r="A33" s="3" t="s">
        <v>40</v>
      </c>
      <c r="B33" s="4">
        <v>121128.0</v>
      </c>
      <c r="C33" s="5">
        <v>22.0</v>
      </c>
      <c r="D33" s="5">
        <v>84.0</v>
      </c>
      <c r="E33" s="6">
        <v>0.9</v>
      </c>
      <c r="F33" s="7">
        <v>16.1</v>
      </c>
      <c r="G33" s="6">
        <v>0.3</v>
      </c>
      <c r="H33" s="8">
        <v>0.1008</v>
      </c>
      <c r="I33" s="8">
        <v>0.029824533198</v>
      </c>
      <c r="J33" s="9">
        <v>11.0</v>
      </c>
      <c r="K33" s="29" t="str">
        <f t="shared" si="1"/>
        <v>Enterprise</v>
      </c>
      <c r="L33" s="30">
        <f t="shared" si="2"/>
        <v>4.83</v>
      </c>
      <c r="M33" s="31">
        <f>PERCENTRANK(B$3:B$202,B33)*'Input Resturant Brands Scoring '!$B$3</f>
        <v>29.715</v>
      </c>
      <c r="N33" s="32">
        <f>(1-PERCENTRANK(J$3:J$202,J33))*'Input Resturant Brands Scoring '!$B$5</f>
        <v>8.136</v>
      </c>
      <c r="O33" s="31">
        <f>(1-PERCENTRANK(I$3:I$202,I33))*'Input Resturant Brands Scoring '!$B$6</f>
        <v>0.84</v>
      </c>
      <c r="P33" s="31">
        <f t="shared" si="3"/>
        <v>8.976</v>
      </c>
      <c r="Q33" s="31">
        <f>PERCENTRANK(L$3:L$202,L33)*'Input Resturant Brands Scoring '!$B$7</f>
        <v>11.445</v>
      </c>
      <c r="R33" s="31">
        <f t="shared" si="4"/>
        <v>50.136</v>
      </c>
      <c r="S33" s="12">
        <f t="shared" si="5"/>
        <v>105</v>
      </c>
      <c r="T33" s="12" t="str">
        <f t="shared" si="13"/>
        <v>B</v>
      </c>
      <c r="U33" s="33">
        <f t="shared" si="7"/>
        <v>585048.24</v>
      </c>
      <c r="V33" s="13">
        <f t="shared" si="8"/>
        <v>0.3</v>
      </c>
      <c r="W33" s="34">
        <f t="shared" si="9"/>
        <v>0</v>
      </c>
      <c r="X33" s="4">
        <f>IF(T33="S", B33*(1+'Input Fee and Elasticity Inputs'!$B$9), IF(T33="A", B33*(1+'Input Fee and Elasticity Inputs'!$B$10), IF(T33="B", B33*(1+'Input Fee and Elasticity Inputs'!$B$11), B33*(1+'Input Fee and Elasticity Inputs'!$B$12))))</f>
        <v>115071.6</v>
      </c>
      <c r="Y33" s="33">
        <f t="shared" si="10"/>
        <v>4.83</v>
      </c>
      <c r="Z33" s="33">
        <f t="shared" si="11"/>
        <v>555795.828</v>
      </c>
      <c r="AA33" s="33">
        <f t="shared" si="12"/>
        <v>-29252.412</v>
      </c>
    </row>
    <row r="34">
      <c r="A34" s="3" t="s">
        <v>41</v>
      </c>
      <c r="B34" s="4">
        <v>120960.0</v>
      </c>
      <c r="C34" s="5">
        <v>21.0</v>
      </c>
      <c r="D34" s="5">
        <v>24.0</v>
      </c>
      <c r="E34" s="6">
        <v>0.06</v>
      </c>
      <c r="F34" s="7">
        <v>19.7</v>
      </c>
      <c r="G34" s="6">
        <v>0.3</v>
      </c>
      <c r="H34" s="8">
        <v>0.072</v>
      </c>
      <c r="I34" s="8">
        <v>0.011183486538</v>
      </c>
      <c r="J34" s="9">
        <v>94.0</v>
      </c>
      <c r="K34" s="29" t="str">
        <f t="shared" si="1"/>
        <v>Enterprise</v>
      </c>
      <c r="L34" s="30">
        <f t="shared" si="2"/>
        <v>5.91</v>
      </c>
      <c r="M34" s="31">
        <f>PERCENTRANK(B$3:B$202,B34)*'Input Resturant Brands Scoring '!$B$3</f>
        <v>29.54</v>
      </c>
      <c r="N34" s="32">
        <f>(1-PERCENTRANK(J$3:J$202,J34))*'Input Resturant Brands Scoring '!$B$5</f>
        <v>0</v>
      </c>
      <c r="O34" s="31">
        <f>(1-PERCENTRANK(I$3:I$202,I34))*'Input Resturant Brands Scoring '!$B$6</f>
        <v>11.58</v>
      </c>
      <c r="P34" s="31">
        <f t="shared" si="3"/>
        <v>11.58</v>
      </c>
      <c r="Q34" s="31">
        <f>PERCENTRANK(L$3:L$202,L34)*'Input Resturant Brands Scoring '!$B$7</f>
        <v>22.155</v>
      </c>
      <c r="R34" s="31">
        <f t="shared" si="4"/>
        <v>63.275</v>
      </c>
      <c r="S34" s="12">
        <f t="shared" si="5"/>
        <v>45</v>
      </c>
      <c r="T34" s="12" t="str">
        <f t="shared" si="13"/>
        <v>A</v>
      </c>
      <c r="U34" s="33">
        <f t="shared" si="7"/>
        <v>714873.6</v>
      </c>
      <c r="V34" s="13">
        <f t="shared" si="8"/>
        <v>0.295</v>
      </c>
      <c r="W34" s="34">
        <f t="shared" si="9"/>
        <v>-0.005</v>
      </c>
      <c r="X34" s="4">
        <f>IF(T34="S", B34*(1+'Input Fee and Elasticity Inputs'!$B$9), IF(T34="A", B34*(1+'Input Fee and Elasticity Inputs'!$B$10), IF(T34="B", B34*(1+'Input Fee and Elasticity Inputs'!$B$11), B34*(1+'Input Fee and Elasticity Inputs'!$B$12))))</f>
        <v>133056</v>
      </c>
      <c r="Y34" s="33">
        <f t="shared" si="10"/>
        <v>5.8115</v>
      </c>
      <c r="Z34" s="33">
        <f t="shared" si="11"/>
        <v>773254.944</v>
      </c>
      <c r="AA34" s="33">
        <f t="shared" si="12"/>
        <v>58381.344</v>
      </c>
    </row>
    <row r="35">
      <c r="A35" s="3" t="s">
        <v>42</v>
      </c>
      <c r="B35" s="4">
        <v>120684.0</v>
      </c>
      <c r="C35" s="5">
        <v>198.0</v>
      </c>
      <c r="D35" s="5">
        <v>276.0</v>
      </c>
      <c r="E35" s="6">
        <v>0.2</v>
      </c>
      <c r="F35" s="7">
        <v>22.2</v>
      </c>
      <c r="G35" s="6">
        <v>0.28</v>
      </c>
      <c r="H35" s="8">
        <v>0.0748</v>
      </c>
      <c r="I35" s="8">
        <v>0.03031432218</v>
      </c>
      <c r="J35" s="9">
        <v>50.0</v>
      </c>
      <c r="K35" s="29" t="str">
        <f t="shared" si="1"/>
        <v>Enterprise</v>
      </c>
      <c r="L35" s="30">
        <f t="shared" si="2"/>
        <v>6.216</v>
      </c>
      <c r="M35" s="31">
        <f>PERCENTRANK(B$3:B$202,B35)*'Input Resturant Brands Scoring '!$B$3</f>
        <v>29.365</v>
      </c>
      <c r="N35" s="32">
        <f>(1-PERCENTRANK(J$3:J$202,J35))*'Input Resturant Brands Scoring '!$B$5</f>
        <v>0.18</v>
      </c>
      <c r="O35" s="31">
        <f>(1-PERCENTRANK(I$3:I$202,I35))*'Input Resturant Brands Scoring '!$B$6</f>
        <v>0.72</v>
      </c>
      <c r="P35" s="31">
        <f t="shared" si="3"/>
        <v>0.9</v>
      </c>
      <c r="Q35" s="31">
        <f>PERCENTRANK(L$3:L$202,L35)*'Input Resturant Brands Scoring '!$B$7</f>
        <v>24.43</v>
      </c>
      <c r="R35" s="31">
        <f t="shared" si="4"/>
        <v>54.695</v>
      </c>
      <c r="S35" s="12">
        <f t="shared" si="5"/>
        <v>77</v>
      </c>
      <c r="T35" s="12" t="str">
        <f t="shared" si="13"/>
        <v>B</v>
      </c>
      <c r="U35" s="33">
        <f t="shared" si="7"/>
        <v>750171.744</v>
      </c>
      <c r="V35" s="13">
        <f t="shared" si="8"/>
        <v>0.3</v>
      </c>
      <c r="W35" s="34">
        <f t="shared" si="9"/>
        <v>0.02</v>
      </c>
      <c r="X35" s="4">
        <f>IF(T35="S", B35*(1+'Input Fee and Elasticity Inputs'!$B$9), IF(T35="A", B35*(1+'Input Fee and Elasticity Inputs'!$B$10), IF(T35="B", B35*(1+'Input Fee and Elasticity Inputs'!$B$11), B35*(1+'Input Fee and Elasticity Inputs'!$B$12))))</f>
        <v>114649.8</v>
      </c>
      <c r="Y35" s="33">
        <f t="shared" si="10"/>
        <v>6.66</v>
      </c>
      <c r="Z35" s="33">
        <f t="shared" si="11"/>
        <v>763567.668</v>
      </c>
      <c r="AA35" s="33">
        <f t="shared" si="12"/>
        <v>13395.924</v>
      </c>
    </row>
    <row r="36">
      <c r="A36" s="3" t="s">
        <v>43</v>
      </c>
      <c r="B36" s="4">
        <v>116280.0</v>
      </c>
      <c r="C36" s="5">
        <v>24.0</v>
      </c>
      <c r="D36" s="5">
        <v>31.0</v>
      </c>
      <c r="E36" s="6">
        <v>0.01</v>
      </c>
      <c r="F36" s="7">
        <v>26.7</v>
      </c>
      <c r="G36" s="6">
        <v>0.25</v>
      </c>
      <c r="H36" s="8">
        <v>0.07</v>
      </c>
      <c r="I36" s="8">
        <v>0.011679280217999998</v>
      </c>
      <c r="J36" s="9">
        <v>11.0</v>
      </c>
      <c r="K36" s="29" t="str">
        <f t="shared" si="1"/>
        <v>Enterprise</v>
      </c>
      <c r="L36" s="30">
        <f t="shared" si="2"/>
        <v>6.675</v>
      </c>
      <c r="M36" s="31">
        <f>PERCENTRANK(B$3:B$202,B36)*'Input Resturant Brands Scoring '!$B$3</f>
        <v>29.19</v>
      </c>
      <c r="N36" s="32">
        <f>(1-PERCENTRANK(J$3:J$202,J36))*'Input Resturant Brands Scoring '!$B$5</f>
        <v>8.136</v>
      </c>
      <c r="O36" s="31">
        <f>(1-PERCENTRANK(I$3:I$202,I36))*'Input Resturant Brands Scoring '!$B$6</f>
        <v>11.4</v>
      </c>
      <c r="P36" s="31">
        <f t="shared" si="3"/>
        <v>19.536</v>
      </c>
      <c r="Q36" s="31">
        <f>PERCENTRANK(L$3:L$202,L36)*'Input Resturant Brands Scoring '!$B$7</f>
        <v>27.44</v>
      </c>
      <c r="R36" s="31">
        <f t="shared" si="4"/>
        <v>76.166</v>
      </c>
      <c r="S36" s="12">
        <f t="shared" si="5"/>
        <v>5</v>
      </c>
      <c r="T36" s="12" t="str">
        <f t="shared" si="13"/>
        <v>S</v>
      </c>
      <c r="U36" s="33">
        <f t="shared" si="7"/>
        <v>776169</v>
      </c>
      <c r="V36" s="13">
        <f t="shared" si="8"/>
        <v>0.23</v>
      </c>
      <c r="W36" s="34">
        <f t="shared" si="9"/>
        <v>-0.02</v>
      </c>
      <c r="X36" s="4">
        <f>IF(T36="S", B36*(1+'Input Fee and Elasticity Inputs'!$B$9), IF(T36="A", B36*(1+'Input Fee and Elasticity Inputs'!$B$10), IF(T36="B", B36*(1+'Input Fee and Elasticity Inputs'!$B$11), B36*(1+'Input Fee and Elasticity Inputs'!$B$12))))</f>
        <v>139536</v>
      </c>
      <c r="Y36" s="33">
        <f t="shared" si="10"/>
        <v>6.141</v>
      </c>
      <c r="Z36" s="33">
        <f t="shared" si="11"/>
        <v>856890.576</v>
      </c>
      <c r="AA36" s="33">
        <f t="shared" si="12"/>
        <v>80721.576</v>
      </c>
    </row>
    <row r="37">
      <c r="A37" s="3" t="s">
        <v>44</v>
      </c>
      <c r="B37" s="4">
        <v>112320.0</v>
      </c>
      <c r="C37" s="5">
        <v>30.0</v>
      </c>
      <c r="D37" s="5">
        <v>39.0</v>
      </c>
      <c r="E37" s="6">
        <v>0.31</v>
      </c>
      <c r="F37" s="7">
        <v>16.8</v>
      </c>
      <c r="G37" s="6">
        <v>0.24</v>
      </c>
      <c r="H37" s="8">
        <v>0.0624</v>
      </c>
      <c r="I37" s="8">
        <v>0.027053363556</v>
      </c>
      <c r="J37" s="9">
        <v>8.0</v>
      </c>
      <c r="K37" s="29" t="str">
        <f t="shared" si="1"/>
        <v>Enterprise</v>
      </c>
      <c r="L37" s="30">
        <f t="shared" si="2"/>
        <v>4.032</v>
      </c>
      <c r="M37" s="31">
        <f>PERCENTRANK(B$3:B$202,B37)*'Input Resturant Brands Scoring '!$B$3</f>
        <v>29.015</v>
      </c>
      <c r="N37" s="32">
        <f>(1-PERCENTRANK(J$3:J$202,J37))*'Input Resturant Brands Scoring '!$B$5</f>
        <v>11.574</v>
      </c>
      <c r="O37" s="31">
        <f>(1-PERCENTRANK(I$3:I$202,I37))*'Input Resturant Brands Scoring '!$B$6</f>
        <v>1.812</v>
      </c>
      <c r="P37" s="31">
        <f t="shared" si="3"/>
        <v>13.386</v>
      </c>
      <c r="Q37" s="31">
        <f>PERCENTRANK(L$3:L$202,L37)*'Input Resturant Brands Scoring '!$B$7</f>
        <v>3.885</v>
      </c>
      <c r="R37" s="31">
        <f t="shared" si="4"/>
        <v>46.286</v>
      </c>
      <c r="S37" s="12">
        <f t="shared" si="5"/>
        <v>125</v>
      </c>
      <c r="T37" s="12" t="str">
        <f t="shared" si="13"/>
        <v>B</v>
      </c>
      <c r="U37" s="33">
        <f t="shared" si="7"/>
        <v>452874.24</v>
      </c>
      <c r="V37" s="13">
        <f t="shared" si="8"/>
        <v>0.26</v>
      </c>
      <c r="W37" s="34">
        <f t="shared" si="9"/>
        <v>0.02</v>
      </c>
      <c r="X37" s="4">
        <f>IF(T37="S", B37*(1+'Input Fee and Elasticity Inputs'!$B$9), IF(T37="A", B37*(1+'Input Fee and Elasticity Inputs'!$B$10), IF(T37="B", B37*(1+'Input Fee and Elasticity Inputs'!$B$11), B37*(1+'Input Fee and Elasticity Inputs'!$B$12))))</f>
        <v>106704</v>
      </c>
      <c r="Y37" s="33">
        <f t="shared" si="10"/>
        <v>4.368</v>
      </c>
      <c r="Z37" s="33">
        <f t="shared" si="11"/>
        <v>466083.072</v>
      </c>
      <c r="AA37" s="33">
        <f t="shared" si="12"/>
        <v>13208.832</v>
      </c>
    </row>
    <row r="38">
      <c r="A38" s="3" t="s">
        <v>45</v>
      </c>
      <c r="B38" s="4">
        <v>109536.0</v>
      </c>
      <c r="C38" s="5">
        <v>27.0</v>
      </c>
      <c r="D38" s="5">
        <v>100.0</v>
      </c>
      <c r="E38" s="6">
        <v>0.14</v>
      </c>
      <c r="F38" s="7">
        <v>24.4</v>
      </c>
      <c r="G38" s="6">
        <v>0.3</v>
      </c>
      <c r="H38" s="8">
        <v>0.0528</v>
      </c>
      <c r="I38" s="8">
        <v>0.011488447794</v>
      </c>
      <c r="J38" s="9">
        <v>4.0</v>
      </c>
      <c r="K38" s="29" t="str">
        <f t="shared" si="1"/>
        <v>Enterprise</v>
      </c>
      <c r="L38" s="30">
        <f t="shared" si="2"/>
        <v>7.32</v>
      </c>
      <c r="M38" s="31">
        <f>PERCENTRANK(B$3:B$202,B38)*'Input Resturant Brands Scoring '!$B$3</f>
        <v>28.84</v>
      </c>
      <c r="N38" s="32">
        <f>(1-PERCENTRANK(J$3:J$202,J38))*'Input Resturant Brands Scoring '!$B$5</f>
        <v>17.1</v>
      </c>
      <c r="O38" s="31">
        <f>(1-PERCENTRANK(I$3:I$202,I38))*'Input Resturant Brands Scoring '!$B$6</f>
        <v>11.46</v>
      </c>
      <c r="P38" s="31">
        <f t="shared" si="3"/>
        <v>28.56</v>
      </c>
      <c r="Q38" s="31">
        <f>PERCENTRANK(L$3:L$202,L38)*'Input Resturant Brands Scoring '!$B$7</f>
        <v>30.24</v>
      </c>
      <c r="R38" s="31">
        <f t="shared" si="4"/>
        <v>87.64</v>
      </c>
      <c r="S38" s="12">
        <f t="shared" si="5"/>
        <v>1</v>
      </c>
      <c r="T38" s="12" t="str">
        <f t="shared" si="13"/>
        <v>S</v>
      </c>
      <c r="U38" s="33">
        <f t="shared" si="7"/>
        <v>801803.52</v>
      </c>
      <c r="V38" s="13">
        <f t="shared" si="8"/>
        <v>0.28</v>
      </c>
      <c r="W38" s="34">
        <f t="shared" si="9"/>
        <v>-0.02</v>
      </c>
      <c r="X38" s="4">
        <f>IF(T38="S", B38*(1+'Input Fee and Elasticity Inputs'!$B$9), IF(T38="A", B38*(1+'Input Fee and Elasticity Inputs'!$B$10), IF(T38="B", B38*(1+'Input Fee and Elasticity Inputs'!$B$11), B38*(1+'Input Fee and Elasticity Inputs'!$B$12))))</f>
        <v>131443.2</v>
      </c>
      <c r="Y38" s="33">
        <f t="shared" si="10"/>
        <v>6.832</v>
      </c>
      <c r="Z38" s="33">
        <f t="shared" si="11"/>
        <v>898019.9424</v>
      </c>
      <c r="AA38" s="33">
        <f t="shared" si="12"/>
        <v>96216.4224</v>
      </c>
    </row>
    <row r="39">
      <c r="A39" s="3" t="s">
        <v>46</v>
      </c>
      <c r="B39" s="4">
        <v>109020.0</v>
      </c>
      <c r="C39" s="5">
        <v>157.0</v>
      </c>
      <c r="D39" s="5">
        <v>219.0</v>
      </c>
      <c r="E39" s="6">
        <v>0.08</v>
      </c>
      <c r="F39" s="7">
        <v>15.4</v>
      </c>
      <c r="G39" s="6">
        <v>0.3</v>
      </c>
      <c r="H39" s="8">
        <v>0.042</v>
      </c>
      <c r="I39" s="8">
        <v>0.011844926532</v>
      </c>
      <c r="J39" s="9">
        <v>5.0</v>
      </c>
      <c r="K39" s="29" t="str">
        <f t="shared" si="1"/>
        <v>Enterprise</v>
      </c>
      <c r="L39" s="30">
        <f t="shared" si="2"/>
        <v>4.62</v>
      </c>
      <c r="M39" s="31">
        <f>PERCENTRANK(B$3:B$202,B39)*'Input Resturant Brands Scoring '!$B$3</f>
        <v>28.665</v>
      </c>
      <c r="N39" s="32">
        <f>(1-PERCENTRANK(J$3:J$202,J39))*'Input Resturant Brands Scoring '!$B$5</f>
        <v>15.462</v>
      </c>
      <c r="O39" s="31">
        <f>(1-PERCENTRANK(I$3:I$202,I39))*'Input Resturant Brands Scoring '!$B$6</f>
        <v>11.34</v>
      </c>
      <c r="P39" s="31">
        <f t="shared" si="3"/>
        <v>26.802</v>
      </c>
      <c r="Q39" s="31">
        <f>PERCENTRANK(L$3:L$202,L39)*'Input Resturant Brands Scoring '!$B$7</f>
        <v>8.96</v>
      </c>
      <c r="R39" s="31">
        <f t="shared" si="4"/>
        <v>64.427</v>
      </c>
      <c r="S39" s="12">
        <f t="shared" si="5"/>
        <v>37</v>
      </c>
      <c r="T39" s="12" t="str">
        <f t="shared" si="13"/>
        <v>A</v>
      </c>
      <c r="U39" s="33">
        <f t="shared" si="7"/>
        <v>503672.4</v>
      </c>
      <c r="V39" s="13">
        <f t="shared" si="8"/>
        <v>0.295</v>
      </c>
      <c r="W39" s="34">
        <f t="shared" si="9"/>
        <v>-0.005</v>
      </c>
      <c r="X39" s="4">
        <f>IF(T39="S", B39*(1+'Input Fee and Elasticity Inputs'!$B$9), IF(T39="A", B39*(1+'Input Fee and Elasticity Inputs'!$B$10), IF(T39="B", B39*(1+'Input Fee and Elasticity Inputs'!$B$11), B39*(1+'Input Fee and Elasticity Inputs'!$B$12))))</f>
        <v>119922</v>
      </c>
      <c r="Y39" s="33">
        <f t="shared" si="10"/>
        <v>4.543</v>
      </c>
      <c r="Z39" s="33">
        <f t="shared" si="11"/>
        <v>544805.646</v>
      </c>
      <c r="AA39" s="33">
        <f t="shared" si="12"/>
        <v>41133.246</v>
      </c>
    </row>
    <row r="40">
      <c r="A40" s="3" t="s">
        <v>47</v>
      </c>
      <c r="B40" s="4">
        <v>108192.0</v>
      </c>
      <c r="C40" s="5">
        <v>22.0</v>
      </c>
      <c r="D40" s="5">
        <v>42.0</v>
      </c>
      <c r="E40" s="6">
        <v>0.23</v>
      </c>
      <c r="F40" s="7">
        <v>17.9</v>
      </c>
      <c r="G40" s="6">
        <v>0.3</v>
      </c>
      <c r="H40" s="8">
        <v>0.0612</v>
      </c>
      <c r="I40" s="8">
        <v>0.019565217389999997</v>
      </c>
      <c r="J40" s="9">
        <v>4.0</v>
      </c>
      <c r="K40" s="29" t="str">
        <f t="shared" si="1"/>
        <v>Enterprise</v>
      </c>
      <c r="L40" s="30">
        <f t="shared" si="2"/>
        <v>5.37</v>
      </c>
      <c r="M40" s="31">
        <f>PERCENTRANK(B$3:B$202,B40)*'Input Resturant Brands Scoring '!$B$3</f>
        <v>28.49</v>
      </c>
      <c r="N40" s="32">
        <f>(1-PERCENTRANK(J$3:J$202,J40))*'Input Resturant Brands Scoring '!$B$5</f>
        <v>17.1</v>
      </c>
      <c r="O40" s="31">
        <f>(1-PERCENTRANK(I$3:I$202,I40))*'Input Resturant Brands Scoring '!$B$6</f>
        <v>5.604</v>
      </c>
      <c r="P40" s="31">
        <f t="shared" si="3"/>
        <v>22.704</v>
      </c>
      <c r="Q40" s="31">
        <f>PERCENTRANK(L$3:L$202,L40)*'Input Resturant Brands Scoring '!$B$7</f>
        <v>16.695</v>
      </c>
      <c r="R40" s="31">
        <f t="shared" si="4"/>
        <v>67.889</v>
      </c>
      <c r="S40" s="12">
        <f t="shared" si="5"/>
        <v>27</v>
      </c>
      <c r="T40" s="12" t="str">
        <f t="shared" si="13"/>
        <v>A</v>
      </c>
      <c r="U40" s="33">
        <f t="shared" si="7"/>
        <v>580991.04</v>
      </c>
      <c r="V40" s="13">
        <f t="shared" si="8"/>
        <v>0.295</v>
      </c>
      <c r="W40" s="34">
        <f t="shared" si="9"/>
        <v>-0.005</v>
      </c>
      <c r="X40" s="4">
        <f>IF(T40="S", B40*(1+'Input Fee and Elasticity Inputs'!$B$9), IF(T40="A", B40*(1+'Input Fee and Elasticity Inputs'!$B$10), IF(T40="B", B40*(1+'Input Fee and Elasticity Inputs'!$B$11), B40*(1+'Input Fee and Elasticity Inputs'!$B$12))))</f>
        <v>119011.2</v>
      </c>
      <c r="Y40" s="33">
        <f t="shared" si="10"/>
        <v>5.2805</v>
      </c>
      <c r="Z40" s="33">
        <f t="shared" si="11"/>
        <v>628438.6416</v>
      </c>
      <c r="AA40" s="33">
        <f t="shared" si="12"/>
        <v>47447.6016</v>
      </c>
    </row>
    <row r="41">
      <c r="A41" s="3" t="s">
        <v>48</v>
      </c>
      <c r="B41" s="4">
        <v>104832.0</v>
      </c>
      <c r="C41" s="5">
        <v>144.0</v>
      </c>
      <c r="D41" s="5">
        <v>203.0</v>
      </c>
      <c r="E41" s="6">
        <v>0.36</v>
      </c>
      <c r="F41" s="7">
        <v>16.0</v>
      </c>
      <c r="G41" s="6">
        <v>0.3</v>
      </c>
      <c r="H41" s="8">
        <v>0.0324</v>
      </c>
      <c r="I41" s="8">
        <v>0.029515631321999997</v>
      </c>
      <c r="J41" s="9">
        <v>6.0</v>
      </c>
      <c r="K41" s="29" t="str">
        <f t="shared" si="1"/>
        <v>Enterprise</v>
      </c>
      <c r="L41" s="30">
        <f t="shared" si="2"/>
        <v>4.8</v>
      </c>
      <c r="M41" s="31">
        <f>PERCENTRANK(B$3:B$202,B41)*'Input Resturant Brands Scoring '!$B$3</f>
        <v>28.315</v>
      </c>
      <c r="N41" s="32">
        <f>(1-PERCENTRANK(J$3:J$202,J41))*'Input Resturant Brands Scoring '!$B$5</f>
        <v>14.022</v>
      </c>
      <c r="O41" s="31">
        <f>(1-PERCENTRANK(I$3:I$202,I41))*'Input Resturant Brands Scoring '!$B$6</f>
        <v>0.96</v>
      </c>
      <c r="P41" s="31">
        <f t="shared" si="3"/>
        <v>14.982</v>
      </c>
      <c r="Q41" s="31">
        <f>PERCENTRANK(L$3:L$202,L41)*'Input Resturant Brands Scoring '!$B$7</f>
        <v>10.745</v>
      </c>
      <c r="R41" s="31">
        <f t="shared" si="4"/>
        <v>54.042</v>
      </c>
      <c r="S41" s="12">
        <f t="shared" si="5"/>
        <v>84</v>
      </c>
      <c r="T41" s="12" t="str">
        <f t="shared" si="13"/>
        <v>B</v>
      </c>
      <c r="U41" s="33">
        <f t="shared" si="7"/>
        <v>503193.6</v>
      </c>
      <c r="V41" s="13">
        <f t="shared" si="8"/>
        <v>0.3</v>
      </c>
      <c r="W41" s="34">
        <f t="shared" si="9"/>
        <v>0</v>
      </c>
      <c r="X41" s="4">
        <f>IF(T41="S", B41*(1+'Input Fee and Elasticity Inputs'!$B$9), IF(T41="A", B41*(1+'Input Fee and Elasticity Inputs'!$B$10), IF(T41="B", B41*(1+'Input Fee and Elasticity Inputs'!$B$11), B41*(1+'Input Fee and Elasticity Inputs'!$B$12))))</f>
        <v>99590.4</v>
      </c>
      <c r="Y41" s="33">
        <f t="shared" si="10"/>
        <v>4.8</v>
      </c>
      <c r="Z41" s="33">
        <f t="shared" si="11"/>
        <v>478033.92</v>
      </c>
      <c r="AA41" s="33">
        <f t="shared" si="12"/>
        <v>-25159.68</v>
      </c>
    </row>
    <row r="42">
      <c r="A42" s="3" t="s">
        <v>49</v>
      </c>
      <c r="B42" s="4">
        <v>103812.0</v>
      </c>
      <c r="C42" s="5">
        <v>19.0</v>
      </c>
      <c r="D42" s="5">
        <v>37.0</v>
      </c>
      <c r="E42" s="6">
        <v>0.18</v>
      </c>
      <c r="F42" s="7">
        <v>26.4</v>
      </c>
      <c r="G42" s="6">
        <v>0.3</v>
      </c>
      <c r="H42" s="8">
        <v>0.0516</v>
      </c>
      <c r="I42" s="8">
        <v>0.027197779596</v>
      </c>
      <c r="J42" s="9">
        <v>7.0</v>
      </c>
      <c r="K42" s="29" t="str">
        <f t="shared" si="1"/>
        <v>SMB</v>
      </c>
      <c r="L42" s="30">
        <f t="shared" si="2"/>
        <v>7.92</v>
      </c>
      <c r="M42" s="31">
        <f>PERCENTRANK(B$3:B$202,B42)*'Input Resturant Brands Scoring '!$B$3</f>
        <v>28.14</v>
      </c>
      <c r="N42" s="32">
        <f>(1-PERCENTRANK(J$3:J$202,J42))*'Input Resturant Brands Scoring '!$B$5</f>
        <v>12.204</v>
      </c>
      <c r="O42" s="31">
        <f>(1-PERCENTRANK(I$3:I$202,I42))*'Input Resturant Brands Scoring '!$B$6</f>
        <v>1.752</v>
      </c>
      <c r="P42" s="31">
        <f t="shared" si="3"/>
        <v>13.956</v>
      </c>
      <c r="Q42" s="31">
        <f>PERCENTRANK(L$3:L$202,L42)*'Input Resturant Brands Scoring '!$B$7</f>
        <v>32.55</v>
      </c>
      <c r="R42" s="31">
        <f t="shared" si="4"/>
        <v>74.646</v>
      </c>
      <c r="S42" s="12">
        <f t="shared" si="5"/>
        <v>8</v>
      </c>
      <c r="T42" s="12" t="str">
        <f t="shared" si="13"/>
        <v>S</v>
      </c>
      <c r="U42" s="33">
        <f t="shared" si="7"/>
        <v>822191.04</v>
      </c>
      <c r="V42" s="13">
        <f t="shared" si="8"/>
        <v>0.28</v>
      </c>
      <c r="W42" s="34">
        <f t="shared" si="9"/>
        <v>-0.02</v>
      </c>
      <c r="X42" s="4">
        <f>IF(T42="S", B42*(1+'Input Fee and Elasticity Inputs'!$B$9), IF(T42="A", B42*(1+'Input Fee and Elasticity Inputs'!$B$10), IF(T42="B", B42*(1+'Input Fee and Elasticity Inputs'!$B$11), B42*(1+'Input Fee and Elasticity Inputs'!$B$12))))</f>
        <v>124574.4</v>
      </c>
      <c r="Y42" s="33">
        <f t="shared" si="10"/>
        <v>7.392</v>
      </c>
      <c r="Z42" s="33">
        <f t="shared" si="11"/>
        <v>920853.9648</v>
      </c>
      <c r="AA42" s="33">
        <f t="shared" si="12"/>
        <v>98662.9248</v>
      </c>
    </row>
    <row r="43">
      <c r="A43" s="3" t="s">
        <v>50</v>
      </c>
      <c r="B43" s="4">
        <v>101676.0</v>
      </c>
      <c r="C43" s="5">
        <v>18.0</v>
      </c>
      <c r="D43" s="5">
        <v>82.0</v>
      </c>
      <c r="E43" s="6">
        <v>0.59</v>
      </c>
      <c r="F43" s="7">
        <v>25.0</v>
      </c>
      <c r="G43" s="6">
        <v>0.3</v>
      </c>
      <c r="H43" s="8">
        <v>0.0848</v>
      </c>
      <c r="I43" s="8">
        <v>0.019617585204</v>
      </c>
      <c r="J43" s="9">
        <v>19.0</v>
      </c>
      <c r="K43" s="29" t="str">
        <f t="shared" si="1"/>
        <v>SMB</v>
      </c>
      <c r="L43" s="30">
        <f t="shared" si="2"/>
        <v>7.5</v>
      </c>
      <c r="M43" s="31">
        <f>PERCENTRANK(B$3:B$202,B43)*'Input Resturant Brands Scoring '!$B$3</f>
        <v>27.965</v>
      </c>
      <c r="N43" s="32">
        <f>(1-PERCENTRANK(J$3:J$202,J43))*'Input Resturant Brands Scoring '!$B$5</f>
        <v>3.798</v>
      </c>
      <c r="O43" s="31">
        <f>(1-PERCENTRANK(I$3:I$202,I43))*'Input Resturant Brands Scoring '!$B$6</f>
        <v>5.544</v>
      </c>
      <c r="P43" s="31">
        <f t="shared" si="3"/>
        <v>9.342</v>
      </c>
      <c r="Q43" s="31">
        <f>PERCENTRANK(L$3:L$202,L43)*'Input Resturant Brands Scoring '!$B$7</f>
        <v>30.94</v>
      </c>
      <c r="R43" s="31">
        <f t="shared" si="4"/>
        <v>68.247</v>
      </c>
      <c r="S43" s="12">
        <f t="shared" si="5"/>
        <v>26</v>
      </c>
      <c r="T43" s="12" t="str">
        <f t="shared" si="13"/>
        <v>A</v>
      </c>
      <c r="U43" s="33">
        <f t="shared" si="7"/>
        <v>762570</v>
      </c>
      <c r="V43" s="13">
        <f t="shared" si="8"/>
        <v>0.295</v>
      </c>
      <c r="W43" s="34">
        <f t="shared" si="9"/>
        <v>-0.005</v>
      </c>
      <c r="X43" s="4">
        <f>IF(T43="S", B43*(1+'Input Fee and Elasticity Inputs'!$B$9), IF(T43="A", B43*(1+'Input Fee and Elasticity Inputs'!$B$10), IF(T43="B", B43*(1+'Input Fee and Elasticity Inputs'!$B$11), B43*(1+'Input Fee and Elasticity Inputs'!$B$12))))</f>
        <v>111843.6</v>
      </c>
      <c r="Y43" s="33">
        <f t="shared" si="10"/>
        <v>7.375</v>
      </c>
      <c r="Z43" s="33">
        <f t="shared" si="11"/>
        <v>824846.55</v>
      </c>
      <c r="AA43" s="33">
        <f t="shared" si="12"/>
        <v>62276.55</v>
      </c>
    </row>
    <row r="44">
      <c r="A44" s="3" t="s">
        <v>51</v>
      </c>
      <c r="B44" s="4">
        <v>99120.0</v>
      </c>
      <c r="C44" s="5">
        <v>58.0</v>
      </c>
      <c r="D44" s="5">
        <v>276.0</v>
      </c>
      <c r="E44" s="6">
        <v>0.95</v>
      </c>
      <c r="F44" s="7">
        <v>28.0</v>
      </c>
      <c r="G44" s="6">
        <v>0.3</v>
      </c>
      <c r="H44" s="8">
        <v>0.018</v>
      </c>
      <c r="I44" s="8">
        <v>0.028815283572</v>
      </c>
      <c r="J44" s="9">
        <v>6.0</v>
      </c>
      <c r="K44" s="29" t="str">
        <f t="shared" si="1"/>
        <v>Enterprise</v>
      </c>
      <c r="L44" s="30">
        <f t="shared" si="2"/>
        <v>8.4</v>
      </c>
      <c r="M44" s="31">
        <f>PERCENTRANK(B$3:B$202,B44)*'Input Resturant Brands Scoring '!$B$3</f>
        <v>27.79</v>
      </c>
      <c r="N44" s="32">
        <f>(1-PERCENTRANK(J$3:J$202,J44))*'Input Resturant Brands Scoring '!$B$5</f>
        <v>14.022</v>
      </c>
      <c r="O44" s="31">
        <f>(1-PERCENTRANK(I$3:I$202,I44))*'Input Resturant Brands Scoring '!$B$6</f>
        <v>1.392</v>
      </c>
      <c r="P44" s="31">
        <f t="shared" si="3"/>
        <v>15.414</v>
      </c>
      <c r="Q44" s="31">
        <f>PERCENTRANK(L$3:L$202,L44)*'Input Resturant Brands Scoring '!$B$7</f>
        <v>33.425</v>
      </c>
      <c r="R44" s="31">
        <f t="shared" si="4"/>
        <v>76.629</v>
      </c>
      <c r="S44" s="12">
        <f t="shared" si="5"/>
        <v>4</v>
      </c>
      <c r="T44" s="12" t="str">
        <f t="shared" si="13"/>
        <v>S</v>
      </c>
      <c r="U44" s="33">
        <f t="shared" si="7"/>
        <v>832608</v>
      </c>
      <c r="V44" s="13">
        <f t="shared" si="8"/>
        <v>0.28</v>
      </c>
      <c r="W44" s="34">
        <f t="shared" si="9"/>
        <v>-0.02</v>
      </c>
      <c r="X44" s="4">
        <f>IF(T44="S", B44*(1+'Input Fee and Elasticity Inputs'!$B$9), IF(T44="A", B44*(1+'Input Fee and Elasticity Inputs'!$B$10), IF(T44="B", B44*(1+'Input Fee and Elasticity Inputs'!$B$11), B44*(1+'Input Fee and Elasticity Inputs'!$B$12))))</f>
        <v>118944</v>
      </c>
      <c r="Y44" s="33">
        <f t="shared" si="10"/>
        <v>7.84</v>
      </c>
      <c r="Z44" s="33">
        <f t="shared" si="11"/>
        <v>932520.96</v>
      </c>
      <c r="AA44" s="33">
        <f t="shared" si="12"/>
        <v>99912.96</v>
      </c>
    </row>
    <row r="45">
      <c r="A45" s="3" t="s">
        <v>52</v>
      </c>
      <c r="B45" s="4">
        <v>96696.0</v>
      </c>
      <c r="C45" s="5">
        <v>23.0</v>
      </c>
      <c r="D45" s="5">
        <v>34.0</v>
      </c>
      <c r="E45" s="6">
        <v>0.99</v>
      </c>
      <c r="F45" s="7">
        <v>14.5</v>
      </c>
      <c r="G45" s="6">
        <v>0.3</v>
      </c>
      <c r="H45" s="8">
        <v>0.0536</v>
      </c>
      <c r="I45" s="8">
        <v>0.019952900946</v>
      </c>
      <c r="J45" s="9">
        <v>39.0</v>
      </c>
      <c r="K45" s="29" t="str">
        <f t="shared" si="1"/>
        <v>Enterprise</v>
      </c>
      <c r="L45" s="30">
        <f t="shared" si="2"/>
        <v>4.35</v>
      </c>
      <c r="M45" s="31">
        <f>PERCENTRANK(B$3:B$202,B45)*'Input Resturant Brands Scoring '!$B$3</f>
        <v>27.615</v>
      </c>
      <c r="N45" s="32">
        <f>(1-PERCENTRANK(J$3:J$202,J45))*'Input Resturant Brands Scoring '!$B$5</f>
        <v>0.63</v>
      </c>
      <c r="O45" s="31">
        <f>(1-PERCENTRANK(I$3:I$202,I45))*'Input Resturant Brands Scoring '!$B$6</f>
        <v>5.244</v>
      </c>
      <c r="P45" s="31">
        <f t="shared" si="3"/>
        <v>5.874</v>
      </c>
      <c r="Q45" s="31">
        <f>PERCENTRANK(L$3:L$202,L45)*'Input Resturant Brands Scoring '!$B$7</f>
        <v>6.51</v>
      </c>
      <c r="R45" s="31">
        <f t="shared" si="4"/>
        <v>39.999</v>
      </c>
      <c r="S45" s="12">
        <f t="shared" si="5"/>
        <v>147</v>
      </c>
      <c r="T45" s="12" t="str">
        <f t="shared" si="13"/>
        <v>B</v>
      </c>
      <c r="U45" s="33">
        <f t="shared" si="7"/>
        <v>420627.6</v>
      </c>
      <c r="V45" s="13">
        <f t="shared" si="8"/>
        <v>0.3</v>
      </c>
      <c r="W45" s="34">
        <f t="shared" si="9"/>
        <v>0</v>
      </c>
      <c r="X45" s="4">
        <f>IF(T45="S", B45*(1+'Input Fee and Elasticity Inputs'!$B$9), IF(T45="A", B45*(1+'Input Fee and Elasticity Inputs'!$B$10), IF(T45="B", B45*(1+'Input Fee and Elasticity Inputs'!$B$11), B45*(1+'Input Fee and Elasticity Inputs'!$B$12))))</f>
        <v>91861.2</v>
      </c>
      <c r="Y45" s="33">
        <f t="shared" si="10"/>
        <v>4.35</v>
      </c>
      <c r="Z45" s="33">
        <f t="shared" si="11"/>
        <v>399596.22</v>
      </c>
      <c r="AA45" s="33">
        <f t="shared" si="12"/>
        <v>-21031.38</v>
      </c>
    </row>
    <row r="46">
      <c r="A46" s="3" t="s">
        <v>53</v>
      </c>
      <c r="B46" s="4">
        <v>94392.0</v>
      </c>
      <c r="C46" s="5">
        <v>47.0</v>
      </c>
      <c r="D46" s="5">
        <v>78.0</v>
      </c>
      <c r="E46" s="6">
        <v>0.47</v>
      </c>
      <c r="F46" s="7">
        <v>17.6</v>
      </c>
      <c r="G46" s="6">
        <v>0.29</v>
      </c>
      <c r="H46" s="8">
        <v>0.0608</v>
      </c>
      <c r="I46" s="8">
        <v>0.026806339482</v>
      </c>
      <c r="J46" s="9">
        <v>20.0</v>
      </c>
      <c r="K46" s="29" t="str">
        <f t="shared" si="1"/>
        <v>Enterprise</v>
      </c>
      <c r="L46" s="30">
        <f t="shared" si="2"/>
        <v>5.104</v>
      </c>
      <c r="M46" s="31">
        <f>PERCENTRANK(B$3:B$202,B46)*'Input Resturant Brands Scoring '!$B$3</f>
        <v>27.44</v>
      </c>
      <c r="N46" s="32">
        <f>(1-PERCENTRANK(J$3:J$202,J46))*'Input Resturant Brands Scoring '!$B$5</f>
        <v>3.528</v>
      </c>
      <c r="O46" s="31">
        <f>(1-PERCENTRANK(I$3:I$202,I46))*'Input Resturant Brands Scoring '!$B$6</f>
        <v>1.932</v>
      </c>
      <c r="P46" s="31">
        <f t="shared" si="3"/>
        <v>5.46</v>
      </c>
      <c r="Q46" s="31">
        <f>PERCENTRANK(L$3:L$202,L46)*'Input Resturant Brands Scoring '!$B$7</f>
        <v>13.895</v>
      </c>
      <c r="R46" s="31">
        <f t="shared" si="4"/>
        <v>46.795</v>
      </c>
      <c r="S46" s="12">
        <f t="shared" si="5"/>
        <v>123</v>
      </c>
      <c r="T46" s="12" t="str">
        <f t="shared" si="13"/>
        <v>B</v>
      </c>
      <c r="U46" s="33">
        <f t="shared" si="7"/>
        <v>481776.768</v>
      </c>
      <c r="V46" s="13">
        <f t="shared" si="8"/>
        <v>0.3</v>
      </c>
      <c r="W46" s="34">
        <f t="shared" si="9"/>
        <v>0.01</v>
      </c>
      <c r="X46" s="4">
        <f>IF(T46="S", B46*(1+'Input Fee and Elasticity Inputs'!$B$9), IF(T46="A", B46*(1+'Input Fee and Elasticity Inputs'!$B$10), IF(T46="B", B46*(1+'Input Fee and Elasticity Inputs'!$B$11), B46*(1+'Input Fee and Elasticity Inputs'!$B$12))))</f>
        <v>89672.4</v>
      </c>
      <c r="Y46" s="33">
        <f t="shared" si="10"/>
        <v>5.28</v>
      </c>
      <c r="Z46" s="33">
        <f t="shared" si="11"/>
        <v>473470.272</v>
      </c>
      <c r="AA46" s="33">
        <f t="shared" si="12"/>
        <v>-8306.496</v>
      </c>
    </row>
    <row r="47">
      <c r="A47" s="3" t="s">
        <v>54</v>
      </c>
      <c r="B47" s="4">
        <v>89832.0</v>
      </c>
      <c r="C47" s="5">
        <v>18.0</v>
      </c>
      <c r="D47" s="5">
        <v>82.0</v>
      </c>
      <c r="E47" s="6">
        <v>0.29</v>
      </c>
      <c r="F47" s="7">
        <v>18.5</v>
      </c>
      <c r="G47" s="6">
        <v>0.3</v>
      </c>
      <c r="H47" s="8">
        <v>0.0316</v>
      </c>
      <c r="I47" s="8">
        <v>0.023753315844000002</v>
      </c>
      <c r="J47" s="9">
        <v>4.0</v>
      </c>
      <c r="K47" s="29" t="str">
        <f t="shared" si="1"/>
        <v>SMB</v>
      </c>
      <c r="L47" s="30">
        <f t="shared" si="2"/>
        <v>5.55</v>
      </c>
      <c r="M47" s="31">
        <f>PERCENTRANK(B$3:B$202,B47)*'Input Resturant Brands Scoring '!$B$3</f>
        <v>27.265</v>
      </c>
      <c r="N47" s="32">
        <f>(1-PERCENTRANK(J$3:J$202,J47))*'Input Resturant Brands Scoring '!$B$5</f>
        <v>17.1</v>
      </c>
      <c r="O47" s="31">
        <f>(1-PERCENTRANK(I$3:I$202,I47))*'Input Resturant Brands Scoring '!$B$6</f>
        <v>3.132</v>
      </c>
      <c r="P47" s="31">
        <f t="shared" si="3"/>
        <v>20.232</v>
      </c>
      <c r="Q47" s="31">
        <f>PERCENTRANK(L$3:L$202,L47)*'Input Resturant Brands Scoring '!$B$7</f>
        <v>19.355</v>
      </c>
      <c r="R47" s="31">
        <f t="shared" si="4"/>
        <v>66.852</v>
      </c>
      <c r="S47" s="12">
        <f t="shared" si="5"/>
        <v>29</v>
      </c>
      <c r="T47" s="12" t="str">
        <f t="shared" si="13"/>
        <v>A</v>
      </c>
      <c r="U47" s="33">
        <f t="shared" si="7"/>
        <v>498567.6</v>
      </c>
      <c r="V47" s="13">
        <f t="shared" si="8"/>
        <v>0.295</v>
      </c>
      <c r="W47" s="34">
        <f t="shared" si="9"/>
        <v>-0.005</v>
      </c>
      <c r="X47" s="4">
        <f>IF(T47="S", B47*(1+'Input Fee and Elasticity Inputs'!$B$9), IF(T47="A", B47*(1+'Input Fee and Elasticity Inputs'!$B$10), IF(T47="B", B47*(1+'Input Fee and Elasticity Inputs'!$B$11), B47*(1+'Input Fee and Elasticity Inputs'!$B$12))))</f>
        <v>98815.2</v>
      </c>
      <c r="Y47" s="33">
        <f t="shared" si="10"/>
        <v>5.4575</v>
      </c>
      <c r="Z47" s="33">
        <f t="shared" si="11"/>
        <v>539283.954</v>
      </c>
      <c r="AA47" s="33">
        <f t="shared" si="12"/>
        <v>40716.354</v>
      </c>
    </row>
    <row r="48">
      <c r="A48" s="3" t="s">
        <v>55</v>
      </c>
      <c r="B48" s="4">
        <v>89628.0</v>
      </c>
      <c r="C48" s="5">
        <v>123.0</v>
      </c>
      <c r="D48" s="5">
        <v>724.0</v>
      </c>
      <c r="E48" s="6">
        <v>0.75</v>
      </c>
      <c r="F48" s="7">
        <v>17.6</v>
      </c>
      <c r="G48" s="6">
        <v>0.26</v>
      </c>
      <c r="H48" s="8">
        <v>0.0112</v>
      </c>
      <c r="I48" s="8">
        <v>0.025741895964</v>
      </c>
      <c r="J48" s="9">
        <v>8.0</v>
      </c>
      <c r="K48" s="29" t="str">
        <f t="shared" si="1"/>
        <v>Enterprise</v>
      </c>
      <c r="L48" s="30">
        <f t="shared" si="2"/>
        <v>4.576</v>
      </c>
      <c r="M48" s="31">
        <f>PERCENTRANK(B$3:B$202,B48)*'Input Resturant Brands Scoring '!$B$3</f>
        <v>27.09</v>
      </c>
      <c r="N48" s="32">
        <f>(1-PERCENTRANK(J$3:J$202,J48))*'Input Resturant Brands Scoring '!$B$5</f>
        <v>11.574</v>
      </c>
      <c r="O48" s="31">
        <f>(1-PERCENTRANK(I$3:I$202,I48))*'Input Resturant Brands Scoring '!$B$6</f>
        <v>2.412</v>
      </c>
      <c r="P48" s="31">
        <f t="shared" si="3"/>
        <v>13.986</v>
      </c>
      <c r="Q48" s="31">
        <f>PERCENTRANK(L$3:L$202,L48)*'Input Resturant Brands Scoring '!$B$7</f>
        <v>8.435</v>
      </c>
      <c r="R48" s="31">
        <f t="shared" si="4"/>
        <v>49.511</v>
      </c>
      <c r="S48" s="12">
        <f t="shared" si="5"/>
        <v>108</v>
      </c>
      <c r="T48" s="12" t="str">
        <f t="shared" si="13"/>
        <v>B</v>
      </c>
      <c r="U48" s="33">
        <f t="shared" si="7"/>
        <v>410137.728</v>
      </c>
      <c r="V48" s="13">
        <f t="shared" si="8"/>
        <v>0.28</v>
      </c>
      <c r="W48" s="34">
        <f t="shared" si="9"/>
        <v>0.02</v>
      </c>
      <c r="X48" s="4">
        <f>IF(T48="S", B48*(1+'Input Fee and Elasticity Inputs'!$B$9), IF(T48="A", B48*(1+'Input Fee and Elasticity Inputs'!$B$10), IF(T48="B", B48*(1+'Input Fee and Elasticity Inputs'!$B$11), B48*(1+'Input Fee and Elasticity Inputs'!$B$12))))</f>
        <v>85146.6</v>
      </c>
      <c r="Y48" s="33">
        <f t="shared" si="10"/>
        <v>4.928</v>
      </c>
      <c r="Z48" s="33">
        <f t="shared" si="11"/>
        <v>419602.4448</v>
      </c>
      <c r="AA48" s="33">
        <f t="shared" si="12"/>
        <v>9464.7168</v>
      </c>
    </row>
    <row r="49">
      <c r="A49" s="3" t="s">
        <v>56</v>
      </c>
      <c r="B49" s="4">
        <v>89400.0</v>
      </c>
      <c r="C49" s="5">
        <v>22.0</v>
      </c>
      <c r="D49" s="5">
        <v>37.0</v>
      </c>
      <c r="E49" s="6">
        <v>0.14</v>
      </c>
      <c r="F49" s="7">
        <v>23.7</v>
      </c>
      <c r="G49" s="6">
        <v>0.26</v>
      </c>
      <c r="H49" s="8">
        <v>0.0312</v>
      </c>
      <c r="I49" s="8">
        <v>0.023479059324</v>
      </c>
      <c r="J49" s="9">
        <v>4.0</v>
      </c>
      <c r="K49" s="29" t="str">
        <f t="shared" si="1"/>
        <v>Enterprise</v>
      </c>
      <c r="L49" s="30">
        <f t="shared" si="2"/>
        <v>6.162</v>
      </c>
      <c r="M49" s="31">
        <f>PERCENTRANK(B$3:B$202,B49)*'Input Resturant Brands Scoring '!$B$3</f>
        <v>26.915</v>
      </c>
      <c r="N49" s="32">
        <f>(1-PERCENTRANK(J$3:J$202,J49))*'Input Resturant Brands Scoring '!$B$5</f>
        <v>17.1</v>
      </c>
      <c r="O49" s="31">
        <f>(1-PERCENTRANK(I$3:I$202,I49))*'Input Resturant Brands Scoring '!$B$6</f>
        <v>3.432</v>
      </c>
      <c r="P49" s="31">
        <f t="shared" si="3"/>
        <v>20.532</v>
      </c>
      <c r="Q49" s="31">
        <f>PERCENTRANK(L$3:L$202,L49)*'Input Resturant Brands Scoring '!$B$7</f>
        <v>24.255</v>
      </c>
      <c r="R49" s="31">
        <f t="shared" si="4"/>
        <v>71.702</v>
      </c>
      <c r="S49" s="12">
        <f t="shared" si="5"/>
        <v>15</v>
      </c>
      <c r="T49" s="12" t="str">
        <f t="shared" si="13"/>
        <v>A</v>
      </c>
      <c r="U49" s="33">
        <f t="shared" si="7"/>
        <v>550882.8</v>
      </c>
      <c r="V49" s="13">
        <f t="shared" si="8"/>
        <v>0.255</v>
      </c>
      <c r="W49" s="34">
        <f t="shared" si="9"/>
        <v>-0.005</v>
      </c>
      <c r="X49" s="4">
        <f>IF(T49="S", B49*(1+'Input Fee and Elasticity Inputs'!$B$9), IF(T49="A", B49*(1+'Input Fee and Elasticity Inputs'!$B$10), IF(T49="B", B49*(1+'Input Fee and Elasticity Inputs'!$B$11), B49*(1+'Input Fee and Elasticity Inputs'!$B$12))))</f>
        <v>98340</v>
      </c>
      <c r="Y49" s="33">
        <f t="shared" si="10"/>
        <v>6.0435</v>
      </c>
      <c r="Z49" s="33">
        <f t="shared" si="11"/>
        <v>594317.79</v>
      </c>
      <c r="AA49" s="33">
        <f t="shared" si="12"/>
        <v>43434.99</v>
      </c>
    </row>
    <row r="50">
      <c r="A50" s="3" t="s">
        <v>57</v>
      </c>
      <c r="B50" s="4">
        <v>88608.0</v>
      </c>
      <c r="C50" s="5">
        <v>26.0</v>
      </c>
      <c r="D50" s="5">
        <v>30.0</v>
      </c>
      <c r="E50" s="6">
        <v>0.55</v>
      </c>
      <c r="F50" s="7">
        <v>15.6</v>
      </c>
      <c r="G50" s="6">
        <v>0.3</v>
      </c>
      <c r="H50" s="8">
        <v>0.0344</v>
      </c>
      <c r="I50" s="8">
        <v>0.024423862997999996</v>
      </c>
      <c r="J50" s="9">
        <v>6.0</v>
      </c>
      <c r="K50" s="29" t="str">
        <f t="shared" si="1"/>
        <v>Enterprise</v>
      </c>
      <c r="L50" s="30">
        <f t="shared" si="2"/>
        <v>4.68</v>
      </c>
      <c r="M50" s="31">
        <f>PERCENTRANK(B$3:B$202,B50)*'Input Resturant Brands Scoring '!$B$3</f>
        <v>26.74</v>
      </c>
      <c r="N50" s="32">
        <f>(1-PERCENTRANK(J$3:J$202,J50))*'Input Resturant Brands Scoring '!$B$5</f>
        <v>14.022</v>
      </c>
      <c r="O50" s="31">
        <f>(1-PERCENTRANK(I$3:I$202,I50))*'Input Resturant Brands Scoring '!$B$6</f>
        <v>2.832</v>
      </c>
      <c r="P50" s="31">
        <f t="shared" si="3"/>
        <v>16.854</v>
      </c>
      <c r="Q50" s="31">
        <f>PERCENTRANK(L$3:L$202,L50)*'Input Resturant Brands Scoring '!$B$7</f>
        <v>9.835</v>
      </c>
      <c r="R50" s="31">
        <f t="shared" si="4"/>
        <v>53.429</v>
      </c>
      <c r="S50" s="12">
        <f t="shared" si="5"/>
        <v>89</v>
      </c>
      <c r="T50" s="12" t="str">
        <f t="shared" si="13"/>
        <v>B</v>
      </c>
      <c r="U50" s="33">
        <f t="shared" si="7"/>
        <v>414685.44</v>
      </c>
      <c r="V50" s="13">
        <f t="shared" si="8"/>
        <v>0.3</v>
      </c>
      <c r="W50" s="34">
        <f t="shared" si="9"/>
        <v>0</v>
      </c>
      <c r="X50" s="4">
        <f>IF(T50="S", B50*(1+'Input Fee and Elasticity Inputs'!$B$9), IF(T50="A", B50*(1+'Input Fee and Elasticity Inputs'!$B$10), IF(T50="B", B50*(1+'Input Fee and Elasticity Inputs'!$B$11), B50*(1+'Input Fee and Elasticity Inputs'!$B$12))))</f>
        <v>84177.6</v>
      </c>
      <c r="Y50" s="33">
        <f t="shared" si="10"/>
        <v>4.68</v>
      </c>
      <c r="Z50" s="33">
        <f t="shared" si="11"/>
        <v>393951.168</v>
      </c>
      <c r="AA50" s="33">
        <f t="shared" si="12"/>
        <v>-20734.272</v>
      </c>
    </row>
    <row r="51">
      <c r="A51" s="3" t="s">
        <v>58</v>
      </c>
      <c r="B51" s="4">
        <v>85968.0</v>
      </c>
      <c r="C51" s="5">
        <v>18.0</v>
      </c>
      <c r="D51" s="5">
        <v>21.0</v>
      </c>
      <c r="E51" s="6">
        <v>0.83</v>
      </c>
      <c r="F51" s="7">
        <v>21.6</v>
      </c>
      <c r="G51" s="6">
        <v>0.21</v>
      </c>
      <c r="H51" s="8">
        <v>0.0324</v>
      </c>
      <c r="I51" s="8">
        <v>0.017626891242</v>
      </c>
      <c r="J51" s="9">
        <v>5.0</v>
      </c>
      <c r="K51" s="29" t="str">
        <f t="shared" si="1"/>
        <v>SMB</v>
      </c>
      <c r="L51" s="30">
        <f t="shared" si="2"/>
        <v>4.536</v>
      </c>
      <c r="M51" s="31">
        <f>PERCENTRANK(B$3:B$202,B51)*'Input Resturant Brands Scoring '!$B$3</f>
        <v>26.565</v>
      </c>
      <c r="N51" s="32">
        <f>(1-PERCENTRANK(J$3:J$202,J51))*'Input Resturant Brands Scoring '!$B$5</f>
        <v>15.462</v>
      </c>
      <c r="O51" s="31">
        <f>(1-PERCENTRANK(I$3:I$202,I51))*'Input Resturant Brands Scoring '!$B$6</f>
        <v>6.636</v>
      </c>
      <c r="P51" s="31">
        <f t="shared" si="3"/>
        <v>22.098</v>
      </c>
      <c r="Q51" s="31">
        <f>PERCENTRANK(L$3:L$202,L51)*'Input Resturant Brands Scoring '!$B$7</f>
        <v>7.91</v>
      </c>
      <c r="R51" s="31">
        <f t="shared" si="4"/>
        <v>56.573</v>
      </c>
      <c r="S51" s="12">
        <f t="shared" si="5"/>
        <v>67</v>
      </c>
      <c r="T51" s="12" t="str">
        <f t="shared" si="13"/>
        <v>B</v>
      </c>
      <c r="U51" s="33">
        <f t="shared" si="7"/>
        <v>389950.848</v>
      </c>
      <c r="V51" s="13">
        <f t="shared" si="8"/>
        <v>0.23</v>
      </c>
      <c r="W51" s="34">
        <f t="shared" si="9"/>
        <v>0.02</v>
      </c>
      <c r="X51" s="4">
        <f>IF(T51="S", B51*(1+'Input Fee and Elasticity Inputs'!$B$9), IF(T51="A", B51*(1+'Input Fee and Elasticity Inputs'!$B$10), IF(T51="B", B51*(1+'Input Fee and Elasticity Inputs'!$B$11), B51*(1+'Input Fee and Elasticity Inputs'!$B$12))))</f>
        <v>81669.6</v>
      </c>
      <c r="Y51" s="33">
        <f t="shared" si="10"/>
        <v>4.968</v>
      </c>
      <c r="Z51" s="33">
        <f t="shared" si="11"/>
        <v>405734.5728</v>
      </c>
      <c r="AA51" s="33">
        <f t="shared" si="12"/>
        <v>15783.7248</v>
      </c>
    </row>
    <row r="52">
      <c r="A52" s="3" t="s">
        <v>59</v>
      </c>
      <c r="B52" s="4">
        <v>84000.0</v>
      </c>
      <c r="C52" s="5">
        <v>19.0</v>
      </c>
      <c r="D52" s="5">
        <v>76.0</v>
      </c>
      <c r="E52" s="6">
        <v>0.39</v>
      </c>
      <c r="F52" s="7">
        <v>17.6</v>
      </c>
      <c r="G52" s="6">
        <v>0.26</v>
      </c>
      <c r="H52" s="8">
        <v>0.122</v>
      </c>
      <c r="I52" s="8">
        <v>0.016294016004</v>
      </c>
      <c r="J52" s="9">
        <v>41.0</v>
      </c>
      <c r="K52" s="29" t="str">
        <f t="shared" si="1"/>
        <v>SMB</v>
      </c>
      <c r="L52" s="30">
        <f t="shared" si="2"/>
        <v>4.576</v>
      </c>
      <c r="M52" s="31">
        <f>PERCENTRANK(B$3:B$202,B52)*'Input Resturant Brands Scoring '!$B$3</f>
        <v>26.39</v>
      </c>
      <c r="N52" s="32">
        <f>(1-PERCENTRANK(J$3:J$202,J52))*'Input Resturant Brands Scoring '!$B$5</f>
        <v>0.45</v>
      </c>
      <c r="O52" s="31">
        <f>(1-PERCENTRANK(I$3:I$202,I52))*'Input Resturant Brands Scoring '!$B$6</f>
        <v>7.716</v>
      </c>
      <c r="P52" s="31">
        <f t="shared" si="3"/>
        <v>8.166</v>
      </c>
      <c r="Q52" s="31">
        <f>PERCENTRANK(L$3:L$202,L52)*'Input Resturant Brands Scoring '!$B$7</f>
        <v>8.435</v>
      </c>
      <c r="R52" s="31">
        <f t="shared" si="4"/>
        <v>42.991</v>
      </c>
      <c r="S52" s="12">
        <f t="shared" si="5"/>
        <v>141</v>
      </c>
      <c r="T52" s="12" t="str">
        <f t="shared" si="13"/>
        <v>B</v>
      </c>
      <c r="U52" s="33">
        <f t="shared" si="7"/>
        <v>384384</v>
      </c>
      <c r="V52" s="13">
        <f t="shared" si="8"/>
        <v>0.28</v>
      </c>
      <c r="W52" s="34">
        <f t="shared" si="9"/>
        <v>0.02</v>
      </c>
      <c r="X52" s="4">
        <f>IF(T52="S", B52*(1+'Input Fee and Elasticity Inputs'!$B$9), IF(T52="A", B52*(1+'Input Fee and Elasticity Inputs'!$B$10), IF(T52="B", B52*(1+'Input Fee and Elasticity Inputs'!$B$11), B52*(1+'Input Fee and Elasticity Inputs'!$B$12))))</f>
        <v>79800</v>
      </c>
      <c r="Y52" s="33">
        <f t="shared" si="10"/>
        <v>4.928</v>
      </c>
      <c r="Z52" s="33">
        <f t="shared" si="11"/>
        <v>393254.4</v>
      </c>
      <c r="AA52" s="33">
        <f t="shared" si="12"/>
        <v>8870.4</v>
      </c>
    </row>
    <row r="53">
      <c r="A53" s="3" t="s">
        <v>60</v>
      </c>
      <c r="B53" s="4">
        <v>83808.0</v>
      </c>
      <c r="C53" s="5">
        <v>18.0</v>
      </c>
      <c r="D53" s="5">
        <v>26.0</v>
      </c>
      <c r="E53" s="6">
        <v>0.62</v>
      </c>
      <c r="F53" s="7">
        <v>14.2</v>
      </c>
      <c r="G53" s="6">
        <v>0.29</v>
      </c>
      <c r="H53" s="8">
        <v>0.0512</v>
      </c>
      <c r="I53" s="8">
        <v>0.016465429769999998</v>
      </c>
      <c r="J53" s="9">
        <v>4.0</v>
      </c>
      <c r="K53" s="29" t="str">
        <f t="shared" si="1"/>
        <v>SMB</v>
      </c>
      <c r="L53" s="30">
        <f t="shared" si="2"/>
        <v>4.118</v>
      </c>
      <c r="M53" s="31">
        <f>PERCENTRANK(B$3:B$202,B53)*'Input Resturant Brands Scoring '!$B$3</f>
        <v>26.215</v>
      </c>
      <c r="N53" s="32">
        <f>(1-PERCENTRANK(J$3:J$202,J53))*'Input Resturant Brands Scoring '!$B$5</f>
        <v>17.1</v>
      </c>
      <c r="O53" s="31">
        <f>(1-PERCENTRANK(I$3:I$202,I53))*'Input Resturant Brands Scoring '!$B$6</f>
        <v>7.476</v>
      </c>
      <c r="P53" s="31">
        <f t="shared" si="3"/>
        <v>24.576</v>
      </c>
      <c r="Q53" s="31">
        <f>PERCENTRANK(L$3:L$202,L53)*'Input Resturant Brands Scoring '!$B$7</f>
        <v>4.935</v>
      </c>
      <c r="R53" s="31">
        <f t="shared" si="4"/>
        <v>55.726</v>
      </c>
      <c r="S53" s="12">
        <f t="shared" si="5"/>
        <v>72</v>
      </c>
      <c r="T53" s="12" t="str">
        <f t="shared" si="13"/>
        <v>B</v>
      </c>
      <c r="U53" s="33">
        <f t="shared" si="7"/>
        <v>345121.344</v>
      </c>
      <c r="V53" s="13">
        <f t="shared" si="8"/>
        <v>0.3</v>
      </c>
      <c r="W53" s="34">
        <f t="shared" si="9"/>
        <v>0.01</v>
      </c>
      <c r="X53" s="4">
        <f>IF(T53="S", B53*(1+'Input Fee and Elasticity Inputs'!$B$9), IF(T53="A", B53*(1+'Input Fee and Elasticity Inputs'!$B$10), IF(T53="B", B53*(1+'Input Fee and Elasticity Inputs'!$B$11), B53*(1+'Input Fee and Elasticity Inputs'!$B$12))))</f>
        <v>79617.6</v>
      </c>
      <c r="Y53" s="33">
        <f t="shared" si="10"/>
        <v>4.26</v>
      </c>
      <c r="Z53" s="33">
        <f t="shared" si="11"/>
        <v>339170.976</v>
      </c>
      <c r="AA53" s="33">
        <f t="shared" si="12"/>
        <v>-5950.368</v>
      </c>
    </row>
    <row r="54">
      <c r="A54" s="3" t="s">
        <v>61</v>
      </c>
      <c r="B54" s="4">
        <v>83496.0</v>
      </c>
      <c r="C54" s="5">
        <v>82.0</v>
      </c>
      <c r="D54" s="5">
        <v>174.0</v>
      </c>
      <c r="E54" s="6">
        <v>0.23</v>
      </c>
      <c r="F54" s="7">
        <v>15.5</v>
      </c>
      <c r="G54" s="6">
        <v>0.3</v>
      </c>
      <c r="H54" s="8">
        <v>0.0488</v>
      </c>
      <c r="I54" s="8">
        <v>0.016134078617999998</v>
      </c>
      <c r="J54" s="9">
        <v>6.0</v>
      </c>
      <c r="K54" s="29" t="str">
        <f t="shared" si="1"/>
        <v>Enterprise</v>
      </c>
      <c r="L54" s="30">
        <f t="shared" si="2"/>
        <v>4.65</v>
      </c>
      <c r="M54" s="31">
        <f>PERCENTRANK(B$3:B$202,B54)*'Input Resturant Brands Scoring '!$B$3</f>
        <v>26.04</v>
      </c>
      <c r="N54" s="32">
        <f>(1-PERCENTRANK(J$3:J$202,J54))*'Input Resturant Brands Scoring '!$B$5</f>
        <v>14.022</v>
      </c>
      <c r="O54" s="31">
        <f>(1-PERCENTRANK(I$3:I$202,I54))*'Input Resturant Brands Scoring '!$B$6</f>
        <v>7.956</v>
      </c>
      <c r="P54" s="31">
        <f t="shared" si="3"/>
        <v>21.978</v>
      </c>
      <c r="Q54" s="31">
        <f>PERCENTRANK(L$3:L$202,L54)*'Input Resturant Brands Scoring '!$B$7</f>
        <v>9.31</v>
      </c>
      <c r="R54" s="31">
        <f t="shared" si="4"/>
        <v>57.328</v>
      </c>
      <c r="S54" s="12">
        <f t="shared" si="5"/>
        <v>65</v>
      </c>
      <c r="T54" s="12" t="str">
        <f t="shared" si="13"/>
        <v>B</v>
      </c>
      <c r="U54" s="33">
        <f t="shared" si="7"/>
        <v>388256.4</v>
      </c>
      <c r="V54" s="13">
        <f t="shared" si="8"/>
        <v>0.3</v>
      </c>
      <c r="W54" s="34">
        <f t="shared" si="9"/>
        <v>0</v>
      </c>
      <c r="X54" s="4">
        <f>IF(T54="S", B54*(1+'Input Fee and Elasticity Inputs'!$B$9), IF(T54="A", B54*(1+'Input Fee and Elasticity Inputs'!$B$10), IF(T54="B", B54*(1+'Input Fee and Elasticity Inputs'!$B$11), B54*(1+'Input Fee and Elasticity Inputs'!$B$12))))</f>
        <v>79321.2</v>
      </c>
      <c r="Y54" s="33">
        <f t="shared" si="10"/>
        <v>4.65</v>
      </c>
      <c r="Z54" s="33">
        <f t="shared" si="11"/>
        <v>368843.58</v>
      </c>
      <c r="AA54" s="33">
        <f t="shared" si="12"/>
        <v>-19412.82</v>
      </c>
    </row>
    <row r="55">
      <c r="A55" s="3" t="s">
        <v>62</v>
      </c>
      <c r="B55" s="4">
        <v>82716.0</v>
      </c>
      <c r="C55" s="5">
        <v>33.0</v>
      </c>
      <c r="D55" s="5">
        <v>60.0</v>
      </c>
      <c r="E55" s="6">
        <v>0.09</v>
      </c>
      <c r="F55" s="7">
        <v>33.6</v>
      </c>
      <c r="G55" s="6">
        <v>0.26</v>
      </c>
      <c r="H55" s="8">
        <v>0.0464</v>
      </c>
      <c r="I55" s="8">
        <v>0.015748709124</v>
      </c>
      <c r="J55" s="9">
        <v>4.0</v>
      </c>
      <c r="K55" s="29" t="str">
        <f t="shared" si="1"/>
        <v>Enterprise</v>
      </c>
      <c r="L55" s="30">
        <f t="shared" si="2"/>
        <v>8.736</v>
      </c>
      <c r="M55" s="31">
        <f>PERCENTRANK(B$3:B$202,B55)*'Input Resturant Brands Scoring '!$B$3</f>
        <v>25.865</v>
      </c>
      <c r="N55" s="32">
        <f>(1-PERCENTRANK(J$3:J$202,J55))*'Input Resturant Brands Scoring '!$B$5</f>
        <v>17.1</v>
      </c>
      <c r="O55" s="31">
        <f>(1-PERCENTRANK(I$3:I$202,I55))*'Input Resturant Brands Scoring '!$B$6</f>
        <v>8.256</v>
      </c>
      <c r="P55" s="31">
        <f t="shared" si="3"/>
        <v>25.356</v>
      </c>
      <c r="Q55" s="31">
        <f>PERCENTRANK(L$3:L$202,L55)*'Input Resturant Brands Scoring '!$B$7</f>
        <v>33.95</v>
      </c>
      <c r="R55" s="31">
        <f t="shared" si="4"/>
        <v>85.171</v>
      </c>
      <c r="S55" s="12">
        <f t="shared" si="5"/>
        <v>2</v>
      </c>
      <c r="T55" s="12" t="str">
        <f t="shared" si="13"/>
        <v>S</v>
      </c>
      <c r="U55" s="33">
        <f t="shared" si="7"/>
        <v>722606.976</v>
      </c>
      <c r="V55" s="13">
        <f t="shared" si="8"/>
        <v>0.24</v>
      </c>
      <c r="W55" s="34">
        <f t="shared" si="9"/>
        <v>-0.02</v>
      </c>
      <c r="X55" s="4">
        <f>IF(T55="S", B55*(1+'Input Fee and Elasticity Inputs'!$B$9), IF(T55="A", B55*(1+'Input Fee and Elasticity Inputs'!$B$10), IF(T55="B", B55*(1+'Input Fee and Elasticity Inputs'!$B$11), B55*(1+'Input Fee and Elasticity Inputs'!$B$12))))</f>
        <v>99259.2</v>
      </c>
      <c r="Y55" s="33">
        <f t="shared" si="10"/>
        <v>8.064</v>
      </c>
      <c r="Z55" s="33">
        <f t="shared" si="11"/>
        <v>800426.1888</v>
      </c>
      <c r="AA55" s="33">
        <f t="shared" si="12"/>
        <v>77819.2128</v>
      </c>
    </row>
    <row r="56">
      <c r="A56" s="3" t="s">
        <v>63</v>
      </c>
      <c r="B56" s="4">
        <v>78336.0</v>
      </c>
      <c r="C56" s="5">
        <v>17.0</v>
      </c>
      <c r="D56" s="5">
        <v>24.0</v>
      </c>
      <c r="E56" s="6">
        <v>0.5</v>
      </c>
      <c r="F56" s="7">
        <v>26.0</v>
      </c>
      <c r="G56" s="6">
        <v>0.25</v>
      </c>
      <c r="H56" s="8">
        <v>0.0592</v>
      </c>
      <c r="I56" s="8">
        <v>0.019840299114</v>
      </c>
      <c r="J56" s="9">
        <v>6.0</v>
      </c>
      <c r="K56" s="29" t="str">
        <f t="shared" si="1"/>
        <v>SMB</v>
      </c>
      <c r="L56" s="30">
        <f t="shared" si="2"/>
        <v>6.5</v>
      </c>
      <c r="M56" s="31">
        <f>PERCENTRANK(B$3:B$202,B56)*'Input Resturant Brands Scoring '!$B$3</f>
        <v>25.69</v>
      </c>
      <c r="N56" s="32">
        <f>(1-PERCENTRANK(J$3:J$202,J56))*'Input Resturant Brands Scoring '!$B$5</f>
        <v>14.022</v>
      </c>
      <c r="O56" s="31">
        <f>(1-PERCENTRANK(I$3:I$202,I56))*'Input Resturant Brands Scoring '!$B$6</f>
        <v>5.304</v>
      </c>
      <c r="P56" s="31">
        <f t="shared" si="3"/>
        <v>19.326</v>
      </c>
      <c r="Q56" s="31">
        <f>PERCENTRANK(L$3:L$202,L56)*'Input Resturant Brands Scoring '!$B$7</f>
        <v>25.69</v>
      </c>
      <c r="R56" s="31">
        <f t="shared" si="4"/>
        <v>70.706</v>
      </c>
      <c r="S56" s="12">
        <f t="shared" si="5"/>
        <v>17</v>
      </c>
      <c r="T56" s="12" t="str">
        <f t="shared" si="13"/>
        <v>A</v>
      </c>
      <c r="U56" s="33">
        <f t="shared" si="7"/>
        <v>509184</v>
      </c>
      <c r="V56" s="13">
        <f t="shared" si="8"/>
        <v>0.245</v>
      </c>
      <c r="W56" s="34">
        <f t="shared" si="9"/>
        <v>-0.005</v>
      </c>
      <c r="X56" s="4">
        <f>IF(T56="S", B56*(1+'Input Fee and Elasticity Inputs'!$B$9), IF(T56="A", B56*(1+'Input Fee and Elasticity Inputs'!$B$10), IF(T56="B", B56*(1+'Input Fee and Elasticity Inputs'!$B$11), B56*(1+'Input Fee and Elasticity Inputs'!$B$12))))</f>
        <v>86169.6</v>
      </c>
      <c r="Y56" s="33">
        <f t="shared" si="10"/>
        <v>6.37</v>
      </c>
      <c r="Z56" s="33">
        <f t="shared" si="11"/>
        <v>548900.352</v>
      </c>
      <c r="AA56" s="33">
        <f t="shared" si="12"/>
        <v>39716.352</v>
      </c>
    </row>
    <row r="57">
      <c r="A57" s="3" t="s">
        <v>64</v>
      </c>
      <c r="B57" s="4">
        <v>77112.0</v>
      </c>
      <c r="C57" s="5">
        <v>19.0</v>
      </c>
      <c r="D57" s="5">
        <v>119.0</v>
      </c>
      <c r="E57" s="6">
        <v>0.79</v>
      </c>
      <c r="F57" s="7">
        <v>19.2</v>
      </c>
      <c r="G57" s="6">
        <v>0.11</v>
      </c>
      <c r="H57" s="8">
        <v>0.0756</v>
      </c>
      <c r="I57" s="8">
        <v>0.026130762611999998</v>
      </c>
      <c r="J57" s="9">
        <v>40.0</v>
      </c>
      <c r="K57" s="29" t="str">
        <f t="shared" si="1"/>
        <v>SMB</v>
      </c>
      <c r="L57" s="30">
        <f t="shared" si="2"/>
        <v>2.112</v>
      </c>
      <c r="M57" s="31">
        <f>PERCENTRANK(B$3:B$202,B57)*'Input Resturant Brands Scoring '!$B$3</f>
        <v>25.515</v>
      </c>
      <c r="N57" s="32">
        <f>(1-PERCENTRANK(J$3:J$202,J57))*'Input Resturant Brands Scoring '!$B$5</f>
        <v>0.54</v>
      </c>
      <c r="O57" s="31">
        <f>(1-PERCENTRANK(I$3:I$202,I57))*'Input Resturant Brands Scoring '!$B$6</f>
        <v>2.292</v>
      </c>
      <c r="P57" s="31">
        <f t="shared" si="3"/>
        <v>2.832</v>
      </c>
      <c r="Q57" s="31">
        <f>PERCENTRANK(L$3:L$202,L57)*'Input Resturant Brands Scoring '!$B$7</f>
        <v>0</v>
      </c>
      <c r="R57" s="31">
        <f t="shared" si="4"/>
        <v>28.347</v>
      </c>
      <c r="S57" s="12">
        <f t="shared" si="5"/>
        <v>186</v>
      </c>
      <c r="T57" s="12" t="str">
        <f t="shared" si="13"/>
        <v>C</v>
      </c>
      <c r="U57" s="33">
        <f t="shared" si="7"/>
        <v>162860.544</v>
      </c>
      <c r="V57" s="13">
        <f t="shared" si="8"/>
        <v>0.14</v>
      </c>
      <c r="W57" s="34">
        <f t="shared" si="9"/>
        <v>0.03</v>
      </c>
      <c r="X57" s="4">
        <f>IF(T57="S", B57*(1+'Input Fee and Elasticity Inputs'!$B$9), IF(T57="A", B57*(1+'Input Fee and Elasticity Inputs'!$B$10), IF(T57="B", B57*(1+'Input Fee and Elasticity Inputs'!$B$11), B57*(1+'Input Fee and Elasticity Inputs'!$B$12))))</f>
        <v>65545.2</v>
      </c>
      <c r="Y57" s="33">
        <f t="shared" si="10"/>
        <v>2.688</v>
      </c>
      <c r="Z57" s="33">
        <f t="shared" si="11"/>
        <v>176185.4976</v>
      </c>
      <c r="AA57" s="33">
        <f t="shared" si="12"/>
        <v>13324.9536</v>
      </c>
    </row>
    <row r="58">
      <c r="A58" s="3" t="s">
        <v>65</v>
      </c>
      <c r="B58" s="4">
        <v>76800.0</v>
      </c>
      <c r="C58" s="5">
        <v>183.0</v>
      </c>
      <c r="D58" s="5">
        <v>654.0</v>
      </c>
      <c r="E58" s="6">
        <v>1.0</v>
      </c>
      <c r="F58" s="7">
        <v>14.1</v>
      </c>
      <c r="G58" s="6">
        <v>0.3</v>
      </c>
      <c r="H58" s="8">
        <v>0.0784</v>
      </c>
      <c r="I58" s="8">
        <v>0.028999404816</v>
      </c>
      <c r="J58" s="9">
        <v>10.0</v>
      </c>
      <c r="K58" s="29" t="str">
        <f t="shared" si="1"/>
        <v>Enterprise</v>
      </c>
      <c r="L58" s="30">
        <f t="shared" si="2"/>
        <v>4.23</v>
      </c>
      <c r="M58" s="31">
        <f>PERCENTRANK(B$3:B$202,B58)*'Input Resturant Brands Scoring '!$B$3</f>
        <v>25.34</v>
      </c>
      <c r="N58" s="32">
        <f>(1-PERCENTRANK(J$3:J$202,J58))*'Input Resturant Brands Scoring '!$B$5</f>
        <v>9.054</v>
      </c>
      <c r="O58" s="31">
        <f>(1-PERCENTRANK(I$3:I$202,I58))*'Input Resturant Brands Scoring '!$B$6</f>
        <v>1.14</v>
      </c>
      <c r="P58" s="31">
        <f t="shared" si="3"/>
        <v>10.194</v>
      </c>
      <c r="Q58" s="31">
        <f>PERCENTRANK(L$3:L$202,L58)*'Input Resturant Brands Scoring '!$B$7</f>
        <v>5.46</v>
      </c>
      <c r="R58" s="31">
        <f t="shared" si="4"/>
        <v>40.994</v>
      </c>
      <c r="S58" s="12">
        <f t="shared" si="5"/>
        <v>145</v>
      </c>
      <c r="T58" s="12" t="str">
        <f t="shared" si="13"/>
        <v>B</v>
      </c>
      <c r="U58" s="33">
        <f t="shared" si="7"/>
        <v>324864</v>
      </c>
      <c r="V58" s="13">
        <f t="shared" si="8"/>
        <v>0.3</v>
      </c>
      <c r="W58" s="34">
        <f t="shared" si="9"/>
        <v>0</v>
      </c>
      <c r="X58" s="4">
        <f>IF(T58="S", B58*(1+'Input Fee and Elasticity Inputs'!$B$9), IF(T58="A", B58*(1+'Input Fee and Elasticity Inputs'!$B$10), IF(T58="B", B58*(1+'Input Fee and Elasticity Inputs'!$B$11), B58*(1+'Input Fee and Elasticity Inputs'!$B$12))))</f>
        <v>72960</v>
      </c>
      <c r="Y58" s="33">
        <f t="shared" si="10"/>
        <v>4.23</v>
      </c>
      <c r="Z58" s="33">
        <f t="shared" si="11"/>
        <v>308620.8</v>
      </c>
      <c r="AA58" s="33">
        <f t="shared" si="12"/>
        <v>-16243.2</v>
      </c>
    </row>
    <row r="59">
      <c r="A59" s="3" t="s">
        <v>66</v>
      </c>
      <c r="B59" s="4">
        <v>76752.0</v>
      </c>
      <c r="C59" s="5">
        <v>17.0</v>
      </c>
      <c r="D59" s="5">
        <v>27.0</v>
      </c>
      <c r="E59" s="6">
        <v>0.61</v>
      </c>
      <c r="F59" s="7">
        <v>13.6</v>
      </c>
      <c r="G59" s="6">
        <v>0.27</v>
      </c>
      <c r="H59" s="8">
        <v>0.0952</v>
      </c>
      <c r="I59" s="8">
        <v>0.020171367521999998</v>
      </c>
      <c r="J59" s="9">
        <v>21.0</v>
      </c>
      <c r="K59" s="29" t="str">
        <f t="shared" si="1"/>
        <v>SMB</v>
      </c>
      <c r="L59" s="30">
        <f t="shared" si="2"/>
        <v>3.672</v>
      </c>
      <c r="M59" s="31">
        <f>PERCENTRANK(B$3:B$202,B59)*'Input Resturant Brands Scoring '!$B$3</f>
        <v>25.165</v>
      </c>
      <c r="N59" s="32">
        <f>(1-PERCENTRANK(J$3:J$202,J59))*'Input Resturant Brands Scoring '!$B$5</f>
        <v>3.348</v>
      </c>
      <c r="O59" s="31">
        <f>(1-PERCENTRANK(I$3:I$202,I59))*'Input Resturant Brands Scoring '!$B$6</f>
        <v>5.124</v>
      </c>
      <c r="P59" s="31">
        <f t="shared" si="3"/>
        <v>8.472</v>
      </c>
      <c r="Q59" s="31">
        <f>PERCENTRANK(L$3:L$202,L59)*'Input Resturant Brands Scoring '!$B$7</f>
        <v>1.925</v>
      </c>
      <c r="R59" s="31">
        <f t="shared" si="4"/>
        <v>35.562</v>
      </c>
      <c r="S59" s="12">
        <f t="shared" si="5"/>
        <v>165</v>
      </c>
      <c r="T59" s="12" t="str">
        <f t="shared" si="13"/>
        <v>C</v>
      </c>
      <c r="U59" s="33">
        <f t="shared" si="7"/>
        <v>281833.344</v>
      </c>
      <c r="V59" s="13">
        <f t="shared" si="8"/>
        <v>0.3</v>
      </c>
      <c r="W59" s="34">
        <f t="shared" si="9"/>
        <v>0.03</v>
      </c>
      <c r="X59" s="4">
        <f>IF(T59="S", B59*(1+'Input Fee and Elasticity Inputs'!$B$9), IF(T59="A", B59*(1+'Input Fee and Elasticity Inputs'!$B$10), IF(T59="B", B59*(1+'Input Fee and Elasticity Inputs'!$B$11), B59*(1+'Input Fee and Elasticity Inputs'!$B$12))))</f>
        <v>65239.2</v>
      </c>
      <c r="Y59" s="33">
        <f t="shared" si="10"/>
        <v>4.08</v>
      </c>
      <c r="Z59" s="33">
        <f t="shared" si="11"/>
        <v>266175.936</v>
      </c>
      <c r="AA59" s="33">
        <f t="shared" si="12"/>
        <v>-15657.408</v>
      </c>
    </row>
    <row r="60">
      <c r="A60" s="3" t="s">
        <v>67</v>
      </c>
      <c r="B60" s="4">
        <v>76632.0</v>
      </c>
      <c r="C60" s="5">
        <v>17.0</v>
      </c>
      <c r="D60" s="5">
        <v>49.0</v>
      </c>
      <c r="E60" s="6">
        <v>0.23</v>
      </c>
      <c r="F60" s="7">
        <v>27.2</v>
      </c>
      <c r="G60" s="6">
        <v>0.29</v>
      </c>
      <c r="H60" s="8">
        <v>0.288</v>
      </c>
      <c r="I60" s="8">
        <v>0.023688228750000002</v>
      </c>
      <c r="J60" s="9">
        <v>5.0</v>
      </c>
      <c r="K60" s="29" t="str">
        <f t="shared" si="1"/>
        <v>SMB</v>
      </c>
      <c r="L60" s="30">
        <f t="shared" si="2"/>
        <v>7.888</v>
      </c>
      <c r="M60" s="31">
        <f>PERCENTRANK(B$3:B$202,B60)*'Input Resturant Brands Scoring '!$B$3</f>
        <v>24.99</v>
      </c>
      <c r="N60" s="32">
        <f>(1-PERCENTRANK(J$3:J$202,J60))*'Input Resturant Brands Scoring '!$B$5</f>
        <v>15.462</v>
      </c>
      <c r="O60" s="31">
        <f>(1-PERCENTRANK(I$3:I$202,I60))*'Input Resturant Brands Scoring '!$B$6</f>
        <v>3.192</v>
      </c>
      <c r="P60" s="31">
        <f t="shared" si="3"/>
        <v>18.654</v>
      </c>
      <c r="Q60" s="31">
        <f>PERCENTRANK(L$3:L$202,L60)*'Input Resturant Brands Scoring '!$B$7</f>
        <v>32.375</v>
      </c>
      <c r="R60" s="31">
        <f t="shared" si="4"/>
        <v>76.019</v>
      </c>
      <c r="S60" s="12">
        <f t="shared" si="5"/>
        <v>6</v>
      </c>
      <c r="T60" s="12" t="str">
        <f t="shared" si="13"/>
        <v>S</v>
      </c>
      <c r="U60" s="33">
        <f t="shared" si="7"/>
        <v>604473.216</v>
      </c>
      <c r="V60" s="13">
        <f t="shared" si="8"/>
        <v>0.27</v>
      </c>
      <c r="W60" s="34">
        <f t="shared" si="9"/>
        <v>-0.02</v>
      </c>
      <c r="X60" s="4">
        <f>IF(T60="S", B60*(1+'Input Fee and Elasticity Inputs'!$B$9), IF(T60="A", B60*(1+'Input Fee and Elasticity Inputs'!$B$10), IF(T60="B", B60*(1+'Input Fee and Elasticity Inputs'!$B$11), B60*(1+'Input Fee and Elasticity Inputs'!$B$12))))</f>
        <v>91958.4</v>
      </c>
      <c r="Y60" s="33">
        <f t="shared" si="10"/>
        <v>7.344</v>
      </c>
      <c r="Z60" s="33">
        <f t="shared" si="11"/>
        <v>675342.4896</v>
      </c>
      <c r="AA60" s="33">
        <f t="shared" si="12"/>
        <v>70869.2736</v>
      </c>
    </row>
    <row r="61">
      <c r="A61" s="3" t="s">
        <v>68</v>
      </c>
      <c r="B61" s="4">
        <v>76464.0</v>
      </c>
      <c r="C61" s="5">
        <v>30.0</v>
      </c>
      <c r="D61" s="5">
        <v>67.0</v>
      </c>
      <c r="E61" s="6">
        <v>0.62</v>
      </c>
      <c r="F61" s="7">
        <v>28.0</v>
      </c>
      <c r="G61" s="6">
        <v>0.3</v>
      </c>
      <c r="H61" s="8">
        <v>0.0296</v>
      </c>
      <c r="I61" s="8">
        <v>0.012617242164</v>
      </c>
      <c r="J61" s="9">
        <v>8.0</v>
      </c>
      <c r="K61" s="29" t="str">
        <f t="shared" si="1"/>
        <v>Enterprise</v>
      </c>
      <c r="L61" s="30">
        <f t="shared" si="2"/>
        <v>8.4</v>
      </c>
      <c r="M61" s="31">
        <f>PERCENTRANK(B$3:B$202,B61)*'Input Resturant Brands Scoring '!$B$3</f>
        <v>24.815</v>
      </c>
      <c r="N61" s="32">
        <f>(1-PERCENTRANK(J$3:J$202,J61))*'Input Resturant Brands Scoring '!$B$5</f>
        <v>11.574</v>
      </c>
      <c r="O61" s="31">
        <f>(1-PERCENTRANK(I$3:I$202,I61))*'Input Resturant Brands Scoring '!$B$6</f>
        <v>11.04</v>
      </c>
      <c r="P61" s="31">
        <f t="shared" si="3"/>
        <v>22.614</v>
      </c>
      <c r="Q61" s="31">
        <f>PERCENTRANK(L$3:L$202,L61)*'Input Resturant Brands Scoring '!$B$7</f>
        <v>33.425</v>
      </c>
      <c r="R61" s="31">
        <f t="shared" si="4"/>
        <v>80.854</v>
      </c>
      <c r="S61" s="12">
        <f t="shared" si="5"/>
        <v>3</v>
      </c>
      <c r="T61" s="12" t="str">
        <f t="shared" si="13"/>
        <v>S</v>
      </c>
      <c r="U61" s="33">
        <f t="shared" si="7"/>
        <v>642297.6</v>
      </c>
      <c r="V61" s="13">
        <f t="shared" si="8"/>
        <v>0.28</v>
      </c>
      <c r="W61" s="34">
        <f t="shared" si="9"/>
        <v>-0.02</v>
      </c>
      <c r="X61" s="4">
        <f>IF(T61="S", B61*(1+'Input Fee and Elasticity Inputs'!$B$9), IF(T61="A", B61*(1+'Input Fee and Elasticity Inputs'!$B$10), IF(T61="B", B61*(1+'Input Fee and Elasticity Inputs'!$B$11), B61*(1+'Input Fee and Elasticity Inputs'!$B$12))))</f>
        <v>91756.8</v>
      </c>
      <c r="Y61" s="33">
        <f t="shared" si="10"/>
        <v>7.84</v>
      </c>
      <c r="Z61" s="33">
        <f t="shared" si="11"/>
        <v>719373.312</v>
      </c>
      <c r="AA61" s="33">
        <f t="shared" si="12"/>
        <v>77075.712</v>
      </c>
    </row>
    <row r="62">
      <c r="A62" s="3" t="s">
        <v>69</v>
      </c>
      <c r="B62" s="4">
        <v>74976.0</v>
      </c>
      <c r="C62" s="5">
        <v>81.0</v>
      </c>
      <c r="D62" s="5">
        <v>232.0</v>
      </c>
      <c r="E62" s="6">
        <v>0.8</v>
      </c>
      <c r="F62" s="7">
        <v>18.0</v>
      </c>
      <c r="G62" s="6">
        <v>0.27</v>
      </c>
      <c r="H62" s="8">
        <v>0.0408</v>
      </c>
      <c r="I62" s="8">
        <v>0.019511749614</v>
      </c>
      <c r="J62" s="9">
        <v>3.0</v>
      </c>
      <c r="K62" s="29" t="str">
        <f t="shared" si="1"/>
        <v>Enterprise</v>
      </c>
      <c r="L62" s="30">
        <f t="shared" si="2"/>
        <v>4.86</v>
      </c>
      <c r="M62" s="31">
        <f>PERCENTRANK(B$3:B$202,B62)*'Input Resturant Brands Scoring '!$B$3</f>
        <v>24.64</v>
      </c>
      <c r="N62" s="32">
        <f>(1-PERCENTRANK(J$3:J$202,J62))*'Input Resturant Brands Scoring '!$B$5</f>
        <v>18</v>
      </c>
      <c r="O62" s="31">
        <f>(1-PERCENTRANK(I$3:I$202,I62))*'Input Resturant Brands Scoring '!$B$6</f>
        <v>5.664</v>
      </c>
      <c r="P62" s="31">
        <f t="shared" si="3"/>
        <v>23.664</v>
      </c>
      <c r="Q62" s="31">
        <f>PERCENTRANK(L$3:L$202,L62)*'Input Resturant Brands Scoring '!$B$7</f>
        <v>11.97</v>
      </c>
      <c r="R62" s="31">
        <f t="shared" si="4"/>
        <v>60.274</v>
      </c>
      <c r="S62" s="12">
        <f t="shared" si="5"/>
        <v>53</v>
      </c>
      <c r="T62" s="12" t="str">
        <f t="shared" si="13"/>
        <v>B</v>
      </c>
      <c r="U62" s="33">
        <f t="shared" si="7"/>
        <v>364383.36</v>
      </c>
      <c r="V62" s="13">
        <f t="shared" si="8"/>
        <v>0.29</v>
      </c>
      <c r="W62" s="34">
        <f t="shared" si="9"/>
        <v>0.02</v>
      </c>
      <c r="X62" s="4">
        <f>IF(T62="S", B62*(1+'Input Fee and Elasticity Inputs'!$B$9), IF(T62="A", B62*(1+'Input Fee and Elasticity Inputs'!$B$10), IF(T62="B", B62*(1+'Input Fee and Elasticity Inputs'!$B$11), B62*(1+'Input Fee and Elasticity Inputs'!$B$12))))</f>
        <v>71227.2</v>
      </c>
      <c r="Y62" s="33">
        <f t="shared" si="10"/>
        <v>5.22</v>
      </c>
      <c r="Z62" s="33">
        <f t="shared" si="11"/>
        <v>371805.984</v>
      </c>
      <c r="AA62" s="33">
        <f t="shared" si="12"/>
        <v>7422.624</v>
      </c>
    </row>
    <row r="63">
      <c r="A63" s="3" t="s">
        <v>70</v>
      </c>
      <c r="B63" s="4">
        <v>72576.0</v>
      </c>
      <c r="C63" s="5">
        <v>16.0</v>
      </c>
      <c r="D63" s="5">
        <v>40.0</v>
      </c>
      <c r="E63" s="6">
        <v>0.55</v>
      </c>
      <c r="F63" s="7">
        <v>25.2</v>
      </c>
      <c r="G63" s="6">
        <v>0.27</v>
      </c>
      <c r="H63" s="8">
        <v>0.078</v>
      </c>
      <c r="I63" s="8">
        <v>0.0157546917</v>
      </c>
      <c r="J63" s="9">
        <v>11.0</v>
      </c>
      <c r="K63" s="29" t="str">
        <f t="shared" si="1"/>
        <v>SMB</v>
      </c>
      <c r="L63" s="30">
        <f t="shared" si="2"/>
        <v>6.804</v>
      </c>
      <c r="M63" s="31">
        <f>PERCENTRANK(B$3:B$202,B63)*'Input Resturant Brands Scoring '!$B$3</f>
        <v>24.43</v>
      </c>
      <c r="N63" s="32">
        <f>(1-PERCENTRANK(J$3:J$202,J63))*'Input Resturant Brands Scoring '!$B$5</f>
        <v>8.136</v>
      </c>
      <c r="O63" s="31">
        <f>(1-PERCENTRANK(I$3:I$202,I63))*'Input Resturant Brands Scoring '!$B$6</f>
        <v>8.196</v>
      </c>
      <c r="P63" s="31">
        <f t="shared" si="3"/>
        <v>16.332</v>
      </c>
      <c r="Q63" s="31">
        <f>PERCENTRANK(L$3:L$202,L63)*'Input Resturant Brands Scoring '!$B$7</f>
        <v>27.965</v>
      </c>
      <c r="R63" s="31">
        <f t="shared" si="4"/>
        <v>68.727</v>
      </c>
      <c r="S63" s="12">
        <f t="shared" si="5"/>
        <v>24</v>
      </c>
      <c r="T63" s="12" t="str">
        <f t="shared" si="13"/>
        <v>A</v>
      </c>
      <c r="U63" s="33">
        <f t="shared" si="7"/>
        <v>493807.104</v>
      </c>
      <c r="V63" s="13">
        <f t="shared" si="8"/>
        <v>0.265</v>
      </c>
      <c r="W63" s="34">
        <f t="shared" si="9"/>
        <v>-0.005</v>
      </c>
      <c r="X63" s="4">
        <f>IF(T63="S", B63*(1+'Input Fee and Elasticity Inputs'!$B$9), IF(T63="A", B63*(1+'Input Fee and Elasticity Inputs'!$B$10), IF(T63="B", B63*(1+'Input Fee and Elasticity Inputs'!$B$11), B63*(1+'Input Fee and Elasticity Inputs'!$B$12))))</f>
        <v>79833.6</v>
      </c>
      <c r="Y63" s="33">
        <f t="shared" si="10"/>
        <v>6.678</v>
      </c>
      <c r="Z63" s="33">
        <f t="shared" si="11"/>
        <v>533128.7808</v>
      </c>
      <c r="AA63" s="33">
        <f t="shared" si="12"/>
        <v>39321.6768</v>
      </c>
    </row>
    <row r="64">
      <c r="A64" s="3" t="s">
        <v>71</v>
      </c>
      <c r="B64" s="4">
        <v>70224.0</v>
      </c>
      <c r="C64" s="5">
        <v>111.0</v>
      </c>
      <c r="D64" s="5">
        <v>326.0</v>
      </c>
      <c r="E64" s="6">
        <v>0.96</v>
      </c>
      <c r="F64" s="7">
        <v>34.1</v>
      </c>
      <c r="G64" s="6">
        <v>0.3</v>
      </c>
      <c r="H64" s="8">
        <v>0.0716</v>
      </c>
      <c r="I64" s="8">
        <v>0.027939903102</v>
      </c>
      <c r="J64" s="9">
        <v>8.0</v>
      </c>
      <c r="K64" s="29" t="str">
        <f t="shared" si="1"/>
        <v>Enterprise</v>
      </c>
      <c r="L64" s="30">
        <f t="shared" si="2"/>
        <v>10.23</v>
      </c>
      <c r="M64" s="31">
        <f>PERCENTRANK(B$3:B$202,B64)*'Input Resturant Brands Scoring '!$B$3</f>
        <v>24.255</v>
      </c>
      <c r="N64" s="32">
        <f>(1-PERCENTRANK(J$3:J$202,J64))*'Input Resturant Brands Scoring '!$B$5</f>
        <v>11.574</v>
      </c>
      <c r="O64" s="31">
        <f>(1-PERCENTRANK(I$3:I$202,I64))*'Input Resturant Brands Scoring '!$B$6</f>
        <v>1.632</v>
      </c>
      <c r="P64" s="31">
        <f t="shared" si="3"/>
        <v>13.206</v>
      </c>
      <c r="Q64" s="31">
        <f>PERCENTRANK(L$3:L$202,L64)*'Input Resturant Brands Scoring '!$B$7</f>
        <v>34.825</v>
      </c>
      <c r="R64" s="31">
        <f t="shared" si="4"/>
        <v>72.286</v>
      </c>
      <c r="S64" s="12">
        <f t="shared" si="5"/>
        <v>13</v>
      </c>
      <c r="T64" s="12" t="str">
        <f t="shared" si="13"/>
        <v>A</v>
      </c>
      <c r="U64" s="33">
        <f t="shared" si="7"/>
        <v>718391.52</v>
      </c>
      <c r="V64" s="13">
        <f t="shared" si="8"/>
        <v>0.295</v>
      </c>
      <c r="W64" s="34">
        <f t="shared" si="9"/>
        <v>-0.005</v>
      </c>
      <c r="X64" s="4">
        <f>IF(T64="S", B64*(1+'Input Fee and Elasticity Inputs'!$B$9), IF(T64="A", B64*(1+'Input Fee and Elasticity Inputs'!$B$10), IF(T64="B", B64*(1+'Input Fee and Elasticity Inputs'!$B$11), B64*(1+'Input Fee and Elasticity Inputs'!$B$12))))</f>
        <v>77246.4</v>
      </c>
      <c r="Y64" s="33">
        <f t="shared" si="10"/>
        <v>10.0595</v>
      </c>
      <c r="Z64" s="33">
        <f t="shared" si="11"/>
        <v>777060.1608</v>
      </c>
      <c r="AA64" s="33">
        <f t="shared" si="12"/>
        <v>58668.6408</v>
      </c>
    </row>
    <row r="65">
      <c r="A65" s="3" t="s">
        <v>72</v>
      </c>
      <c r="B65" s="4">
        <v>69960.0</v>
      </c>
      <c r="C65" s="5">
        <v>27.0</v>
      </c>
      <c r="D65" s="5">
        <v>75.0</v>
      </c>
      <c r="E65" s="6">
        <v>0.36</v>
      </c>
      <c r="F65" s="7">
        <v>14.7</v>
      </c>
      <c r="G65" s="6">
        <v>0.28</v>
      </c>
      <c r="H65" s="8">
        <v>0.0348</v>
      </c>
      <c r="I65" s="8">
        <v>0.016269380142</v>
      </c>
      <c r="J65" s="9">
        <v>22.0</v>
      </c>
      <c r="K65" s="29" t="str">
        <f t="shared" si="1"/>
        <v>Enterprise</v>
      </c>
      <c r="L65" s="30">
        <f t="shared" si="2"/>
        <v>4.116</v>
      </c>
      <c r="M65" s="31">
        <f>PERCENTRANK(B$3:B$202,B65)*'Input Resturant Brands Scoring '!$B$3</f>
        <v>24.08</v>
      </c>
      <c r="N65" s="32">
        <f>(1-PERCENTRANK(J$3:J$202,J65))*'Input Resturant Brands Scoring '!$B$5</f>
        <v>3.078</v>
      </c>
      <c r="O65" s="31">
        <f>(1-PERCENTRANK(I$3:I$202,I65))*'Input Resturant Brands Scoring '!$B$6</f>
        <v>7.776</v>
      </c>
      <c r="P65" s="31">
        <f t="shared" si="3"/>
        <v>10.854</v>
      </c>
      <c r="Q65" s="31">
        <f>PERCENTRANK(L$3:L$202,L65)*'Input Resturant Brands Scoring '!$B$7</f>
        <v>4.76</v>
      </c>
      <c r="R65" s="31">
        <f t="shared" si="4"/>
        <v>39.694</v>
      </c>
      <c r="S65" s="12">
        <f t="shared" si="5"/>
        <v>150</v>
      </c>
      <c r="T65" s="12" t="str">
        <f t="shared" si="13"/>
        <v>B</v>
      </c>
      <c r="U65" s="33">
        <f t="shared" si="7"/>
        <v>287955.36</v>
      </c>
      <c r="V65" s="13">
        <f t="shared" si="8"/>
        <v>0.3</v>
      </c>
      <c r="W65" s="34">
        <f t="shared" si="9"/>
        <v>0.02</v>
      </c>
      <c r="X65" s="4">
        <f>IF(T65="S", B65*(1+'Input Fee and Elasticity Inputs'!$B$9), IF(T65="A", B65*(1+'Input Fee and Elasticity Inputs'!$B$10), IF(T65="B", B65*(1+'Input Fee and Elasticity Inputs'!$B$11), B65*(1+'Input Fee and Elasticity Inputs'!$B$12))))</f>
        <v>66462</v>
      </c>
      <c r="Y65" s="33">
        <f t="shared" si="10"/>
        <v>4.41</v>
      </c>
      <c r="Z65" s="33">
        <f t="shared" si="11"/>
        <v>293097.42</v>
      </c>
      <c r="AA65" s="33">
        <f t="shared" si="12"/>
        <v>5142.06</v>
      </c>
    </row>
    <row r="66">
      <c r="A66" s="3" t="s">
        <v>73</v>
      </c>
      <c r="B66" s="4">
        <v>67944.0</v>
      </c>
      <c r="C66" s="5">
        <v>13.0</v>
      </c>
      <c r="D66" s="5">
        <v>36.0</v>
      </c>
      <c r="E66" s="6">
        <v>0.09</v>
      </c>
      <c r="F66" s="7">
        <v>24.7</v>
      </c>
      <c r="G66" s="6">
        <v>0.29</v>
      </c>
      <c r="H66" s="8">
        <v>0.0304</v>
      </c>
      <c r="I66" s="8">
        <v>0.018732973206</v>
      </c>
      <c r="J66" s="9">
        <v>12.0</v>
      </c>
      <c r="K66" s="29" t="str">
        <f t="shared" si="1"/>
        <v>SMB</v>
      </c>
      <c r="L66" s="30">
        <f t="shared" si="2"/>
        <v>7.163</v>
      </c>
      <c r="M66" s="31">
        <f>PERCENTRANK(B$3:B$202,B66)*'Input Resturant Brands Scoring '!$B$3</f>
        <v>23.905</v>
      </c>
      <c r="N66" s="32">
        <f>(1-PERCENTRANK(J$3:J$202,J66))*'Input Resturant Brands Scoring '!$B$5</f>
        <v>7.326</v>
      </c>
      <c r="O66" s="31">
        <f>(1-PERCENTRANK(I$3:I$202,I66))*'Input Resturant Brands Scoring '!$B$6</f>
        <v>5.904</v>
      </c>
      <c r="P66" s="31">
        <f t="shared" si="3"/>
        <v>13.23</v>
      </c>
      <c r="Q66" s="31">
        <f>PERCENTRANK(L$3:L$202,L66)*'Input Resturant Brands Scoring '!$B$7</f>
        <v>29.54</v>
      </c>
      <c r="R66" s="31">
        <f t="shared" si="4"/>
        <v>66.675</v>
      </c>
      <c r="S66" s="12">
        <f t="shared" si="5"/>
        <v>30</v>
      </c>
      <c r="T66" s="12" t="str">
        <f t="shared" si="13"/>
        <v>A</v>
      </c>
      <c r="U66" s="33">
        <f t="shared" si="7"/>
        <v>486682.872</v>
      </c>
      <c r="V66" s="13">
        <f t="shared" si="8"/>
        <v>0.285</v>
      </c>
      <c r="W66" s="34">
        <f t="shared" si="9"/>
        <v>-0.005</v>
      </c>
      <c r="X66" s="4">
        <f>IF(T66="S", B66*(1+'Input Fee and Elasticity Inputs'!$B$9), IF(T66="A", B66*(1+'Input Fee and Elasticity Inputs'!$B$10), IF(T66="B", B66*(1+'Input Fee and Elasticity Inputs'!$B$11), B66*(1+'Input Fee and Elasticity Inputs'!$B$12))))</f>
        <v>74738.4</v>
      </c>
      <c r="Y66" s="33">
        <f t="shared" si="10"/>
        <v>7.0395</v>
      </c>
      <c r="Z66" s="33">
        <f t="shared" si="11"/>
        <v>526120.9668</v>
      </c>
      <c r="AA66" s="33">
        <f t="shared" si="12"/>
        <v>39438.0948</v>
      </c>
    </row>
    <row r="67">
      <c r="A67" s="3" t="s">
        <v>74</v>
      </c>
      <c r="B67" s="4">
        <v>67596.0</v>
      </c>
      <c r="C67" s="5">
        <v>21.0</v>
      </c>
      <c r="D67" s="5">
        <v>51.0</v>
      </c>
      <c r="E67" s="6">
        <v>0.28</v>
      </c>
      <c r="F67" s="7">
        <v>19.2</v>
      </c>
      <c r="G67" s="6">
        <v>0.3</v>
      </c>
      <c r="H67" s="8">
        <v>0.084</v>
      </c>
      <c r="I67" s="8">
        <v>0.01256964207</v>
      </c>
      <c r="J67" s="9">
        <v>6.0</v>
      </c>
      <c r="K67" s="29" t="str">
        <f t="shared" si="1"/>
        <v>Enterprise</v>
      </c>
      <c r="L67" s="30">
        <f t="shared" si="2"/>
        <v>5.76</v>
      </c>
      <c r="M67" s="31">
        <f>PERCENTRANK(B$3:B$202,B67)*'Input Resturant Brands Scoring '!$B$3</f>
        <v>23.73</v>
      </c>
      <c r="N67" s="32">
        <f>(1-PERCENTRANK(J$3:J$202,J67))*'Input Resturant Brands Scoring '!$B$5</f>
        <v>14.022</v>
      </c>
      <c r="O67" s="31">
        <f>(1-PERCENTRANK(I$3:I$202,I67))*'Input Resturant Brands Scoring '!$B$6</f>
        <v>11.1</v>
      </c>
      <c r="P67" s="31">
        <f t="shared" si="3"/>
        <v>25.122</v>
      </c>
      <c r="Q67" s="31">
        <f>PERCENTRANK(L$3:L$202,L67)*'Input Resturant Brands Scoring '!$B$7</f>
        <v>21.28</v>
      </c>
      <c r="R67" s="31">
        <f t="shared" si="4"/>
        <v>70.132</v>
      </c>
      <c r="S67" s="12">
        <f t="shared" si="5"/>
        <v>19</v>
      </c>
      <c r="T67" s="12" t="str">
        <f t="shared" si="13"/>
        <v>A</v>
      </c>
      <c r="U67" s="33">
        <f t="shared" si="7"/>
        <v>389352.96</v>
      </c>
      <c r="V67" s="13">
        <f t="shared" si="8"/>
        <v>0.295</v>
      </c>
      <c r="W67" s="34">
        <f t="shared" si="9"/>
        <v>-0.005</v>
      </c>
      <c r="X67" s="4">
        <f>IF(T67="S", B67*(1+'Input Fee and Elasticity Inputs'!$B$9), IF(T67="A", B67*(1+'Input Fee and Elasticity Inputs'!$B$10), IF(T67="B", B67*(1+'Input Fee and Elasticity Inputs'!$B$11), B67*(1+'Input Fee and Elasticity Inputs'!$B$12))))</f>
        <v>74355.6</v>
      </c>
      <c r="Y67" s="33">
        <f t="shared" si="10"/>
        <v>5.664</v>
      </c>
      <c r="Z67" s="33">
        <f t="shared" si="11"/>
        <v>421150.1184</v>
      </c>
      <c r="AA67" s="33">
        <f t="shared" si="12"/>
        <v>31797.1584</v>
      </c>
    </row>
    <row r="68">
      <c r="A68" s="3" t="s">
        <v>75</v>
      </c>
      <c r="B68" s="4">
        <v>65832.0</v>
      </c>
      <c r="C68" s="5">
        <v>17.0</v>
      </c>
      <c r="D68" s="5">
        <v>25.0</v>
      </c>
      <c r="E68" s="6">
        <v>1.0</v>
      </c>
      <c r="F68" s="7">
        <v>19.1</v>
      </c>
      <c r="G68" s="6">
        <v>0.29</v>
      </c>
      <c r="H68" s="8">
        <v>0.0948</v>
      </c>
      <c r="I68" s="8">
        <v>0.022868976857999997</v>
      </c>
      <c r="J68" s="9">
        <v>27.0</v>
      </c>
      <c r="K68" s="29" t="str">
        <f t="shared" si="1"/>
        <v>SMB</v>
      </c>
      <c r="L68" s="30">
        <f t="shared" si="2"/>
        <v>5.539</v>
      </c>
      <c r="M68" s="31">
        <f>PERCENTRANK(B$3:B$202,B68)*'Input Resturant Brands Scoring '!$B$3</f>
        <v>23.555</v>
      </c>
      <c r="N68" s="32">
        <f>(1-PERCENTRANK(J$3:J$202,J68))*'Input Resturant Brands Scoring '!$B$5</f>
        <v>1.71</v>
      </c>
      <c r="O68" s="31">
        <f>(1-PERCENTRANK(I$3:I$202,I68))*'Input Resturant Brands Scoring '!$B$6</f>
        <v>3.984</v>
      </c>
      <c r="P68" s="31">
        <f t="shared" si="3"/>
        <v>5.694</v>
      </c>
      <c r="Q68" s="31">
        <f>PERCENTRANK(L$3:L$202,L68)*'Input Resturant Brands Scoring '!$B$7</f>
        <v>19.18</v>
      </c>
      <c r="R68" s="31">
        <f t="shared" si="4"/>
        <v>48.429</v>
      </c>
      <c r="S68" s="12">
        <f t="shared" si="5"/>
        <v>113</v>
      </c>
      <c r="T68" s="12" t="str">
        <f t="shared" si="13"/>
        <v>B</v>
      </c>
      <c r="U68" s="33">
        <f t="shared" si="7"/>
        <v>364643.448</v>
      </c>
      <c r="V68" s="13">
        <f t="shared" si="8"/>
        <v>0.3</v>
      </c>
      <c r="W68" s="34">
        <f t="shared" si="9"/>
        <v>0.01</v>
      </c>
      <c r="X68" s="4">
        <f>IF(T68="S", B68*(1+'Input Fee and Elasticity Inputs'!$B$9), IF(T68="A", B68*(1+'Input Fee and Elasticity Inputs'!$B$10), IF(T68="B", B68*(1+'Input Fee and Elasticity Inputs'!$B$11), B68*(1+'Input Fee and Elasticity Inputs'!$B$12))))</f>
        <v>62540.4</v>
      </c>
      <c r="Y68" s="33">
        <f t="shared" si="10"/>
        <v>5.73</v>
      </c>
      <c r="Z68" s="33">
        <f t="shared" si="11"/>
        <v>358356.492</v>
      </c>
      <c r="AA68" s="33">
        <f t="shared" si="12"/>
        <v>-6286.956</v>
      </c>
    </row>
    <row r="69">
      <c r="A69" s="3" t="s">
        <v>76</v>
      </c>
      <c r="B69" s="4">
        <v>58608.0</v>
      </c>
      <c r="C69" s="5">
        <v>18.0</v>
      </c>
      <c r="D69" s="5">
        <v>28.0</v>
      </c>
      <c r="E69" s="6">
        <v>0.1</v>
      </c>
      <c r="F69" s="7">
        <v>23.7</v>
      </c>
      <c r="G69" s="6">
        <v>0.3</v>
      </c>
      <c r="H69" s="8">
        <v>0.0824</v>
      </c>
      <c r="I69" s="8">
        <v>0.024168784884</v>
      </c>
      <c r="J69" s="9">
        <v>13.0</v>
      </c>
      <c r="K69" s="29" t="str">
        <f t="shared" si="1"/>
        <v>SMB</v>
      </c>
      <c r="L69" s="30">
        <f t="shared" si="2"/>
        <v>7.11</v>
      </c>
      <c r="M69" s="31">
        <f>PERCENTRANK(B$3:B$202,B69)*'Input Resturant Brands Scoring '!$B$3</f>
        <v>23.38</v>
      </c>
      <c r="N69" s="32">
        <f>(1-PERCENTRANK(J$3:J$202,J69))*'Input Resturant Brands Scoring '!$B$5</f>
        <v>7.056</v>
      </c>
      <c r="O69" s="31">
        <f>(1-PERCENTRANK(I$3:I$202,I69))*'Input Resturant Brands Scoring '!$B$6</f>
        <v>2.892</v>
      </c>
      <c r="P69" s="31">
        <f t="shared" si="3"/>
        <v>9.948</v>
      </c>
      <c r="Q69" s="31">
        <f>PERCENTRANK(L$3:L$202,L69)*'Input Resturant Brands Scoring '!$B$7</f>
        <v>29.365</v>
      </c>
      <c r="R69" s="31">
        <f t="shared" si="4"/>
        <v>62.693</v>
      </c>
      <c r="S69" s="12">
        <f t="shared" si="5"/>
        <v>46</v>
      </c>
      <c r="T69" s="12" t="str">
        <f t="shared" si="13"/>
        <v>A</v>
      </c>
      <c r="U69" s="33">
        <f t="shared" si="7"/>
        <v>416702.88</v>
      </c>
      <c r="V69" s="13">
        <f t="shared" si="8"/>
        <v>0.295</v>
      </c>
      <c r="W69" s="34">
        <f t="shared" si="9"/>
        <v>-0.005</v>
      </c>
      <c r="X69" s="4">
        <f>IF(T69="S", B69*(1+'Input Fee and Elasticity Inputs'!$B$9), IF(T69="A", B69*(1+'Input Fee and Elasticity Inputs'!$B$10), IF(T69="B", B69*(1+'Input Fee and Elasticity Inputs'!$B$11), B69*(1+'Input Fee and Elasticity Inputs'!$B$12))))</f>
        <v>64468.8</v>
      </c>
      <c r="Y69" s="33">
        <f t="shared" si="10"/>
        <v>6.9915</v>
      </c>
      <c r="Z69" s="33">
        <f t="shared" si="11"/>
        <v>450733.6152</v>
      </c>
      <c r="AA69" s="33">
        <f t="shared" si="12"/>
        <v>34030.7352</v>
      </c>
    </row>
    <row r="70">
      <c r="A70" s="3" t="s">
        <v>77</v>
      </c>
      <c r="B70" s="4">
        <v>58536.0</v>
      </c>
      <c r="C70" s="5">
        <v>12.0</v>
      </c>
      <c r="D70" s="5">
        <v>15.0</v>
      </c>
      <c r="E70" s="6">
        <v>0.38</v>
      </c>
      <c r="F70" s="7">
        <v>14.2</v>
      </c>
      <c r="G70" s="6">
        <v>0.27</v>
      </c>
      <c r="H70" s="8">
        <v>0.0376</v>
      </c>
      <c r="I70" s="8">
        <v>0.026526744047999998</v>
      </c>
      <c r="J70" s="9">
        <v>6.0</v>
      </c>
      <c r="K70" s="29" t="str">
        <f t="shared" si="1"/>
        <v>SMB</v>
      </c>
      <c r="L70" s="30">
        <f t="shared" si="2"/>
        <v>3.834</v>
      </c>
      <c r="M70" s="31">
        <f>PERCENTRANK(B$3:B$202,B70)*'Input Resturant Brands Scoring '!$B$3</f>
        <v>23.205</v>
      </c>
      <c r="N70" s="32">
        <f>(1-PERCENTRANK(J$3:J$202,J70))*'Input Resturant Brands Scoring '!$B$5</f>
        <v>14.022</v>
      </c>
      <c r="O70" s="31">
        <f>(1-PERCENTRANK(I$3:I$202,I70))*'Input Resturant Brands Scoring '!$B$6</f>
        <v>1.992</v>
      </c>
      <c r="P70" s="31">
        <f t="shared" si="3"/>
        <v>16.014</v>
      </c>
      <c r="Q70" s="31">
        <f>PERCENTRANK(L$3:L$202,L70)*'Input Resturant Brands Scoring '!$B$7</f>
        <v>2.625</v>
      </c>
      <c r="R70" s="31">
        <f t="shared" si="4"/>
        <v>41.844</v>
      </c>
      <c r="S70" s="12">
        <f t="shared" si="5"/>
        <v>144</v>
      </c>
      <c r="T70" s="12" t="str">
        <f t="shared" si="13"/>
        <v>B</v>
      </c>
      <c r="U70" s="33">
        <f t="shared" si="7"/>
        <v>224427.024</v>
      </c>
      <c r="V70" s="13">
        <f t="shared" si="8"/>
        <v>0.29</v>
      </c>
      <c r="W70" s="34">
        <f t="shared" si="9"/>
        <v>0.02</v>
      </c>
      <c r="X70" s="4">
        <f>IF(T70="S", B70*(1+'Input Fee and Elasticity Inputs'!$B$9), IF(T70="A", B70*(1+'Input Fee and Elasticity Inputs'!$B$10), IF(T70="B", B70*(1+'Input Fee and Elasticity Inputs'!$B$11), B70*(1+'Input Fee and Elasticity Inputs'!$B$12))))</f>
        <v>55609.2</v>
      </c>
      <c r="Y70" s="33">
        <f t="shared" si="10"/>
        <v>4.118</v>
      </c>
      <c r="Z70" s="33">
        <f t="shared" si="11"/>
        <v>228998.6856</v>
      </c>
      <c r="AA70" s="33">
        <f t="shared" si="12"/>
        <v>4571.6616</v>
      </c>
    </row>
    <row r="71">
      <c r="A71" s="3" t="s">
        <v>78</v>
      </c>
      <c r="B71" s="4">
        <v>58320.0</v>
      </c>
      <c r="C71" s="5">
        <v>30.0</v>
      </c>
      <c r="D71" s="5">
        <v>49.0</v>
      </c>
      <c r="E71" s="6">
        <v>0.29</v>
      </c>
      <c r="F71" s="7">
        <v>25.3</v>
      </c>
      <c r="G71" s="6">
        <v>0.24</v>
      </c>
      <c r="H71" s="8">
        <v>0.0696</v>
      </c>
      <c r="I71" s="8">
        <v>0.02586708498</v>
      </c>
      <c r="J71" s="9">
        <v>14.0</v>
      </c>
      <c r="K71" s="29" t="str">
        <f t="shared" si="1"/>
        <v>Enterprise</v>
      </c>
      <c r="L71" s="30">
        <f t="shared" si="2"/>
        <v>6.072</v>
      </c>
      <c r="M71" s="31">
        <f>PERCENTRANK(B$3:B$202,B71)*'Input Resturant Brands Scoring '!$B$3</f>
        <v>23.03</v>
      </c>
      <c r="N71" s="32">
        <f>(1-PERCENTRANK(J$3:J$202,J71))*'Input Resturant Brands Scoring '!$B$5</f>
        <v>6.426</v>
      </c>
      <c r="O71" s="31">
        <f>(1-PERCENTRANK(I$3:I$202,I71))*'Input Resturant Brands Scoring '!$B$6</f>
        <v>2.352</v>
      </c>
      <c r="P71" s="31">
        <f t="shared" si="3"/>
        <v>8.778</v>
      </c>
      <c r="Q71" s="31">
        <f>PERCENTRANK(L$3:L$202,L71)*'Input Resturant Brands Scoring '!$B$7</f>
        <v>23.73</v>
      </c>
      <c r="R71" s="31">
        <f t="shared" si="4"/>
        <v>55.538</v>
      </c>
      <c r="S71" s="12">
        <f t="shared" si="5"/>
        <v>73</v>
      </c>
      <c r="T71" s="12" t="str">
        <f t="shared" si="13"/>
        <v>B</v>
      </c>
      <c r="U71" s="33">
        <f t="shared" si="7"/>
        <v>354119.04</v>
      </c>
      <c r="V71" s="13">
        <f t="shared" si="8"/>
        <v>0.26</v>
      </c>
      <c r="W71" s="34">
        <f t="shared" si="9"/>
        <v>0.02</v>
      </c>
      <c r="X71" s="4">
        <f>IF(T71="S", B71*(1+'Input Fee and Elasticity Inputs'!$B$9), IF(T71="A", B71*(1+'Input Fee and Elasticity Inputs'!$B$10), IF(T71="B", B71*(1+'Input Fee and Elasticity Inputs'!$B$11), B71*(1+'Input Fee and Elasticity Inputs'!$B$12))))</f>
        <v>55404</v>
      </c>
      <c r="Y71" s="33">
        <f t="shared" si="10"/>
        <v>6.578</v>
      </c>
      <c r="Z71" s="33">
        <f t="shared" si="11"/>
        <v>364447.512</v>
      </c>
      <c r="AA71" s="33">
        <f t="shared" si="12"/>
        <v>10328.472</v>
      </c>
    </row>
    <row r="72">
      <c r="A72" s="3" t="s">
        <v>79</v>
      </c>
      <c r="B72" s="4">
        <v>57408.0</v>
      </c>
      <c r="C72" s="5">
        <v>10.0</v>
      </c>
      <c r="D72" s="5">
        <v>30.0</v>
      </c>
      <c r="E72" s="6">
        <v>0.03</v>
      </c>
      <c r="F72" s="7">
        <v>28.3</v>
      </c>
      <c r="G72" s="6">
        <v>0.22</v>
      </c>
      <c r="H72" s="8">
        <v>0.028</v>
      </c>
      <c r="I72" s="8">
        <v>0.012935757</v>
      </c>
      <c r="J72" s="9">
        <v>16.0</v>
      </c>
      <c r="K72" s="29" t="str">
        <f t="shared" si="1"/>
        <v>SMB</v>
      </c>
      <c r="L72" s="30">
        <f t="shared" si="2"/>
        <v>6.226</v>
      </c>
      <c r="M72" s="31">
        <f>PERCENTRANK(B$3:B$202,B72)*'Input Resturant Brands Scoring '!$B$3</f>
        <v>22.855</v>
      </c>
      <c r="N72" s="32">
        <f>(1-PERCENTRANK(J$3:J$202,J72))*'Input Resturant Brands Scoring '!$B$5</f>
        <v>5.148</v>
      </c>
      <c r="O72" s="31">
        <f>(1-PERCENTRANK(I$3:I$202,I72))*'Input Resturant Brands Scoring '!$B$6</f>
        <v>10.92</v>
      </c>
      <c r="P72" s="31">
        <f t="shared" si="3"/>
        <v>16.068</v>
      </c>
      <c r="Q72" s="31">
        <f>PERCENTRANK(L$3:L$202,L72)*'Input Resturant Brands Scoring '!$B$7</f>
        <v>24.64</v>
      </c>
      <c r="R72" s="31">
        <f t="shared" si="4"/>
        <v>63.563</v>
      </c>
      <c r="S72" s="12">
        <f t="shared" si="5"/>
        <v>41</v>
      </c>
      <c r="T72" s="12" t="str">
        <f t="shared" si="13"/>
        <v>A</v>
      </c>
      <c r="U72" s="33">
        <f t="shared" si="7"/>
        <v>357422.208</v>
      </c>
      <c r="V72" s="13">
        <f t="shared" si="8"/>
        <v>0.215</v>
      </c>
      <c r="W72" s="34">
        <f t="shared" si="9"/>
        <v>-0.005</v>
      </c>
      <c r="X72" s="4">
        <f>IF(T72="S", B72*(1+'Input Fee and Elasticity Inputs'!$B$9), IF(T72="A", B72*(1+'Input Fee and Elasticity Inputs'!$B$10), IF(T72="B", B72*(1+'Input Fee and Elasticity Inputs'!$B$11), B72*(1+'Input Fee and Elasticity Inputs'!$B$12))))</f>
        <v>63148.8</v>
      </c>
      <c r="Y72" s="33">
        <f t="shared" si="10"/>
        <v>6.0845</v>
      </c>
      <c r="Z72" s="33">
        <f t="shared" si="11"/>
        <v>384228.8736</v>
      </c>
      <c r="AA72" s="33">
        <f t="shared" si="12"/>
        <v>26806.6656</v>
      </c>
    </row>
    <row r="73">
      <c r="A73" s="3" t="s">
        <v>80</v>
      </c>
      <c r="B73" s="4">
        <v>56940.0</v>
      </c>
      <c r="C73" s="5">
        <v>38.0</v>
      </c>
      <c r="D73" s="5">
        <v>181.0</v>
      </c>
      <c r="E73" s="6">
        <v>0.45</v>
      </c>
      <c r="F73" s="7">
        <v>22.2</v>
      </c>
      <c r="G73" s="6">
        <v>0.3</v>
      </c>
      <c r="H73" s="8">
        <v>0.0256</v>
      </c>
      <c r="I73" s="8">
        <v>0.015326756939999998</v>
      </c>
      <c r="J73" s="9">
        <v>6.0</v>
      </c>
      <c r="K73" s="29" t="str">
        <f t="shared" si="1"/>
        <v>Enterprise</v>
      </c>
      <c r="L73" s="30">
        <f t="shared" si="2"/>
        <v>6.66</v>
      </c>
      <c r="M73" s="31">
        <f>PERCENTRANK(B$3:B$202,B73)*'Input Resturant Brands Scoring '!$B$3</f>
        <v>22.68</v>
      </c>
      <c r="N73" s="32">
        <f>(1-PERCENTRANK(J$3:J$202,J73))*'Input Resturant Brands Scoring '!$B$5</f>
        <v>14.022</v>
      </c>
      <c r="O73" s="31">
        <f>(1-PERCENTRANK(I$3:I$202,I73))*'Input Resturant Brands Scoring '!$B$6</f>
        <v>8.376</v>
      </c>
      <c r="P73" s="31">
        <f t="shared" si="3"/>
        <v>22.398</v>
      </c>
      <c r="Q73" s="31">
        <f>PERCENTRANK(L$3:L$202,L73)*'Input Resturant Brands Scoring '!$B$7</f>
        <v>27.09</v>
      </c>
      <c r="R73" s="31">
        <f t="shared" si="4"/>
        <v>72.168</v>
      </c>
      <c r="S73" s="12">
        <f t="shared" si="5"/>
        <v>14</v>
      </c>
      <c r="T73" s="12" t="str">
        <f t="shared" si="13"/>
        <v>A</v>
      </c>
      <c r="U73" s="33">
        <f t="shared" si="7"/>
        <v>379220.4</v>
      </c>
      <c r="V73" s="13">
        <f t="shared" si="8"/>
        <v>0.295</v>
      </c>
      <c r="W73" s="34">
        <f t="shared" si="9"/>
        <v>-0.005</v>
      </c>
      <c r="X73" s="4">
        <f>IF(T73="S", B73*(1+'Input Fee and Elasticity Inputs'!$B$9), IF(T73="A", B73*(1+'Input Fee and Elasticity Inputs'!$B$10), IF(T73="B", B73*(1+'Input Fee and Elasticity Inputs'!$B$11), B73*(1+'Input Fee and Elasticity Inputs'!$B$12))))</f>
        <v>62634</v>
      </c>
      <c r="Y73" s="33">
        <f t="shared" si="10"/>
        <v>6.549</v>
      </c>
      <c r="Z73" s="33">
        <f t="shared" si="11"/>
        <v>410190.066</v>
      </c>
      <c r="AA73" s="33">
        <f t="shared" si="12"/>
        <v>30969.666</v>
      </c>
    </row>
    <row r="74">
      <c r="A74" s="3" t="s">
        <v>81</v>
      </c>
      <c r="B74" s="4">
        <v>56544.0</v>
      </c>
      <c r="C74" s="5">
        <v>18.0</v>
      </c>
      <c r="D74" s="5">
        <v>86.0</v>
      </c>
      <c r="E74" s="6">
        <v>0.38</v>
      </c>
      <c r="F74" s="7">
        <v>18.9</v>
      </c>
      <c r="G74" s="6">
        <v>0.27</v>
      </c>
      <c r="H74" s="8">
        <v>0.214</v>
      </c>
      <c r="I74" s="8">
        <v>0.013790379677999998</v>
      </c>
      <c r="J74" s="9">
        <v>3.0</v>
      </c>
      <c r="K74" s="29" t="str">
        <f t="shared" si="1"/>
        <v>SMB</v>
      </c>
      <c r="L74" s="30">
        <f t="shared" si="2"/>
        <v>5.103</v>
      </c>
      <c r="M74" s="31">
        <f>PERCENTRANK(B$3:B$202,B74)*'Input Resturant Brands Scoring '!$B$3</f>
        <v>22.505</v>
      </c>
      <c r="N74" s="32">
        <f>(1-PERCENTRANK(J$3:J$202,J74))*'Input Resturant Brands Scoring '!$B$5</f>
        <v>18</v>
      </c>
      <c r="O74" s="31">
        <f>(1-PERCENTRANK(I$3:I$202,I74))*'Input Resturant Brands Scoring '!$B$6</f>
        <v>10.248</v>
      </c>
      <c r="P74" s="31">
        <f t="shared" si="3"/>
        <v>28.248</v>
      </c>
      <c r="Q74" s="31">
        <f>PERCENTRANK(L$3:L$202,L74)*'Input Resturant Brands Scoring '!$B$7</f>
        <v>13.545</v>
      </c>
      <c r="R74" s="31">
        <f t="shared" si="4"/>
        <v>64.298</v>
      </c>
      <c r="S74" s="12">
        <f t="shared" si="5"/>
        <v>38</v>
      </c>
      <c r="T74" s="12" t="str">
        <f t="shared" si="13"/>
        <v>A</v>
      </c>
      <c r="U74" s="33">
        <f t="shared" si="7"/>
        <v>288544.032</v>
      </c>
      <c r="V74" s="13">
        <f t="shared" si="8"/>
        <v>0.265</v>
      </c>
      <c r="W74" s="34">
        <f t="shared" si="9"/>
        <v>-0.005</v>
      </c>
      <c r="X74" s="4">
        <f>IF(T74="S", B74*(1+'Input Fee and Elasticity Inputs'!$B$9), IF(T74="A", B74*(1+'Input Fee and Elasticity Inputs'!$B$10), IF(T74="B", B74*(1+'Input Fee and Elasticity Inputs'!$B$11), B74*(1+'Input Fee and Elasticity Inputs'!$B$12))))</f>
        <v>62198.4</v>
      </c>
      <c r="Y74" s="33">
        <f t="shared" si="10"/>
        <v>5.0085</v>
      </c>
      <c r="Z74" s="33">
        <f t="shared" si="11"/>
        <v>311520.6864</v>
      </c>
      <c r="AA74" s="33">
        <f t="shared" si="12"/>
        <v>22976.6544</v>
      </c>
    </row>
    <row r="75">
      <c r="A75" s="3" t="s">
        <v>82</v>
      </c>
      <c r="B75" s="4">
        <v>55752.0</v>
      </c>
      <c r="C75" s="5">
        <v>15.0</v>
      </c>
      <c r="D75" s="5">
        <v>27.0</v>
      </c>
      <c r="E75" s="6">
        <v>0.71</v>
      </c>
      <c r="F75" s="7">
        <v>17.1</v>
      </c>
      <c r="G75" s="6">
        <v>0.27</v>
      </c>
      <c r="H75" s="8">
        <v>0.0464</v>
      </c>
      <c r="I75" s="8">
        <v>0.011904403152</v>
      </c>
      <c r="J75" s="9">
        <v>13.0</v>
      </c>
      <c r="K75" s="29" t="str">
        <f t="shared" si="1"/>
        <v>SMB</v>
      </c>
      <c r="L75" s="30">
        <f t="shared" si="2"/>
        <v>4.617</v>
      </c>
      <c r="M75" s="31">
        <f>PERCENTRANK(B$3:B$202,B75)*'Input Resturant Brands Scoring '!$B$3</f>
        <v>22.33</v>
      </c>
      <c r="N75" s="32">
        <f>(1-PERCENTRANK(J$3:J$202,J75))*'Input Resturant Brands Scoring '!$B$5</f>
        <v>7.056</v>
      </c>
      <c r="O75" s="31">
        <f>(1-PERCENTRANK(I$3:I$202,I75))*'Input Resturant Brands Scoring '!$B$6</f>
        <v>11.28</v>
      </c>
      <c r="P75" s="31">
        <f t="shared" si="3"/>
        <v>18.336</v>
      </c>
      <c r="Q75" s="31">
        <f>PERCENTRANK(L$3:L$202,L75)*'Input Resturant Brands Scoring '!$B$7</f>
        <v>8.785</v>
      </c>
      <c r="R75" s="31">
        <f t="shared" si="4"/>
        <v>49.451</v>
      </c>
      <c r="S75" s="12">
        <f t="shared" si="5"/>
        <v>109</v>
      </c>
      <c r="T75" s="12" t="str">
        <f t="shared" si="13"/>
        <v>B</v>
      </c>
      <c r="U75" s="33">
        <f t="shared" si="7"/>
        <v>257406.984</v>
      </c>
      <c r="V75" s="13">
        <f t="shared" si="8"/>
        <v>0.29</v>
      </c>
      <c r="W75" s="34">
        <f t="shared" si="9"/>
        <v>0.02</v>
      </c>
      <c r="X75" s="4">
        <f>IF(T75="S", B75*(1+'Input Fee and Elasticity Inputs'!$B$9), IF(T75="A", B75*(1+'Input Fee and Elasticity Inputs'!$B$10), IF(T75="B", B75*(1+'Input Fee and Elasticity Inputs'!$B$11), B75*(1+'Input Fee and Elasticity Inputs'!$B$12))))</f>
        <v>52964.4</v>
      </c>
      <c r="Y75" s="33">
        <f t="shared" si="10"/>
        <v>4.959</v>
      </c>
      <c r="Z75" s="33">
        <f t="shared" si="11"/>
        <v>262650.4596</v>
      </c>
      <c r="AA75" s="33">
        <f t="shared" si="12"/>
        <v>5243.4756</v>
      </c>
    </row>
    <row r="76">
      <c r="A76" s="3" t="s">
        <v>83</v>
      </c>
      <c r="B76" s="4">
        <v>55692.0</v>
      </c>
      <c r="C76" s="5">
        <v>11.0</v>
      </c>
      <c r="D76" s="5">
        <v>17.0</v>
      </c>
      <c r="E76" s="6">
        <v>0.17</v>
      </c>
      <c r="F76" s="7">
        <v>32.7</v>
      </c>
      <c r="G76" s="6">
        <v>0.18</v>
      </c>
      <c r="H76" s="8">
        <v>0.0596</v>
      </c>
      <c r="I76" s="8">
        <v>0.012022407353999998</v>
      </c>
      <c r="J76" s="9">
        <v>5.0</v>
      </c>
      <c r="K76" s="29" t="str">
        <f t="shared" si="1"/>
        <v>SMB</v>
      </c>
      <c r="L76" s="30">
        <f t="shared" si="2"/>
        <v>5.886</v>
      </c>
      <c r="M76" s="31">
        <f>PERCENTRANK(B$3:B$202,B76)*'Input Resturant Brands Scoring '!$B$3</f>
        <v>22.155</v>
      </c>
      <c r="N76" s="32">
        <f>(1-PERCENTRANK(J$3:J$202,J76))*'Input Resturant Brands Scoring '!$B$5</f>
        <v>15.462</v>
      </c>
      <c r="O76" s="31">
        <f>(1-PERCENTRANK(I$3:I$202,I76))*'Input Resturant Brands Scoring '!$B$6</f>
        <v>11.22</v>
      </c>
      <c r="P76" s="31">
        <f t="shared" si="3"/>
        <v>26.682</v>
      </c>
      <c r="Q76" s="31">
        <f>PERCENTRANK(L$3:L$202,L76)*'Input Resturant Brands Scoring '!$B$7</f>
        <v>21.98</v>
      </c>
      <c r="R76" s="31">
        <f t="shared" si="4"/>
        <v>70.817</v>
      </c>
      <c r="S76" s="12">
        <f t="shared" si="5"/>
        <v>16</v>
      </c>
      <c r="T76" s="12" t="str">
        <f t="shared" si="13"/>
        <v>A</v>
      </c>
      <c r="U76" s="33">
        <f t="shared" si="7"/>
        <v>327803.112</v>
      </c>
      <c r="V76" s="13">
        <f t="shared" si="8"/>
        <v>0.175</v>
      </c>
      <c r="W76" s="34">
        <f t="shared" si="9"/>
        <v>-0.005</v>
      </c>
      <c r="X76" s="4">
        <f>IF(T76="S", B76*(1+'Input Fee and Elasticity Inputs'!$B$9), IF(T76="A", B76*(1+'Input Fee and Elasticity Inputs'!$B$10), IF(T76="B", B76*(1+'Input Fee and Elasticity Inputs'!$B$11), B76*(1+'Input Fee and Elasticity Inputs'!$B$12))))</f>
        <v>61261.2</v>
      </c>
      <c r="Y76" s="33">
        <f t="shared" si="10"/>
        <v>5.7225</v>
      </c>
      <c r="Z76" s="33">
        <f t="shared" si="11"/>
        <v>350567.217</v>
      </c>
      <c r="AA76" s="33">
        <f t="shared" si="12"/>
        <v>22764.105</v>
      </c>
    </row>
    <row r="77">
      <c r="A77" s="3" t="s">
        <v>84</v>
      </c>
      <c r="B77" s="4">
        <v>54948.0</v>
      </c>
      <c r="C77" s="5">
        <v>12.0</v>
      </c>
      <c r="D77" s="5">
        <v>42.0</v>
      </c>
      <c r="E77" s="6">
        <v>0.18</v>
      </c>
      <c r="F77" s="7">
        <v>17.0</v>
      </c>
      <c r="G77" s="6">
        <v>0.28</v>
      </c>
      <c r="H77" s="8">
        <v>0.0</v>
      </c>
      <c r="I77" s="8">
        <v>0.012907827168</v>
      </c>
      <c r="J77" s="9">
        <v>3.0</v>
      </c>
      <c r="K77" s="29" t="str">
        <f t="shared" si="1"/>
        <v>SMB</v>
      </c>
      <c r="L77" s="30">
        <f t="shared" si="2"/>
        <v>4.76</v>
      </c>
      <c r="M77" s="31">
        <f>PERCENTRANK(B$3:B$202,B77)*'Input Resturant Brands Scoring '!$B$3</f>
        <v>21.98</v>
      </c>
      <c r="N77" s="32">
        <f>(1-PERCENTRANK(J$3:J$202,J77))*'Input Resturant Brands Scoring '!$B$5</f>
        <v>18</v>
      </c>
      <c r="O77" s="31">
        <f>(1-PERCENTRANK(I$3:I$202,I77))*'Input Resturant Brands Scoring '!$B$6</f>
        <v>10.98</v>
      </c>
      <c r="P77" s="31">
        <f t="shared" si="3"/>
        <v>28.98</v>
      </c>
      <c r="Q77" s="31">
        <f>PERCENTRANK(L$3:L$202,L77)*'Input Resturant Brands Scoring '!$B$7</f>
        <v>10.57</v>
      </c>
      <c r="R77" s="31">
        <f t="shared" si="4"/>
        <v>61.53</v>
      </c>
      <c r="S77" s="12">
        <f t="shared" si="5"/>
        <v>49</v>
      </c>
      <c r="T77" s="12" t="str">
        <f t="shared" si="13"/>
        <v>A</v>
      </c>
      <c r="U77" s="33">
        <f t="shared" si="7"/>
        <v>261552.48</v>
      </c>
      <c r="V77" s="13">
        <f t="shared" si="8"/>
        <v>0.275</v>
      </c>
      <c r="W77" s="34">
        <f t="shared" si="9"/>
        <v>-0.005</v>
      </c>
      <c r="X77" s="4">
        <f>IF(T77="S", B77*(1+'Input Fee and Elasticity Inputs'!$B$9), IF(T77="A", B77*(1+'Input Fee and Elasticity Inputs'!$B$10), IF(T77="B", B77*(1+'Input Fee and Elasticity Inputs'!$B$11), B77*(1+'Input Fee and Elasticity Inputs'!$B$12))))</f>
        <v>60442.8</v>
      </c>
      <c r="Y77" s="33">
        <f t="shared" si="10"/>
        <v>4.675</v>
      </c>
      <c r="Z77" s="33">
        <f t="shared" si="11"/>
        <v>282570.09</v>
      </c>
      <c r="AA77" s="33">
        <f t="shared" si="12"/>
        <v>21017.61</v>
      </c>
    </row>
    <row r="78">
      <c r="A78" s="3" t="s">
        <v>85</v>
      </c>
      <c r="B78" s="4">
        <v>53436.0</v>
      </c>
      <c r="C78" s="5">
        <v>33.0</v>
      </c>
      <c r="D78" s="5">
        <v>37.0</v>
      </c>
      <c r="E78" s="6">
        <v>0.39</v>
      </c>
      <c r="F78" s="7">
        <v>16.3</v>
      </c>
      <c r="G78" s="6">
        <v>0.28</v>
      </c>
      <c r="H78" s="8">
        <v>0.036</v>
      </c>
      <c r="I78" s="8">
        <v>0.011468594736</v>
      </c>
      <c r="J78" s="9">
        <v>10.0</v>
      </c>
      <c r="K78" s="29" t="str">
        <f t="shared" si="1"/>
        <v>Enterprise</v>
      </c>
      <c r="L78" s="30">
        <f t="shared" si="2"/>
        <v>4.564</v>
      </c>
      <c r="M78" s="31">
        <f>PERCENTRANK(B$3:B$202,B78)*'Input Resturant Brands Scoring '!$B$3</f>
        <v>21.805</v>
      </c>
      <c r="N78" s="32">
        <f>(1-PERCENTRANK(J$3:J$202,J78))*'Input Resturant Brands Scoring '!$B$5</f>
        <v>9.054</v>
      </c>
      <c r="O78" s="31">
        <f>(1-PERCENTRANK(I$3:I$202,I78))*'Input Resturant Brands Scoring '!$B$6</f>
        <v>11.52</v>
      </c>
      <c r="P78" s="31">
        <f t="shared" si="3"/>
        <v>20.574</v>
      </c>
      <c r="Q78" s="31">
        <f>PERCENTRANK(L$3:L$202,L78)*'Input Resturant Brands Scoring '!$B$7</f>
        <v>8.26</v>
      </c>
      <c r="R78" s="31">
        <f t="shared" si="4"/>
        <v>50.639</v>
      </c>
      <c r="S78" s="12">
        <f t="shared" si="5"/>
        <v>101</v>
      </c>
      <c r="T78" s="12" t="str">
        <f t="shared" si="13"/>
        <v>B</v>
      </c>
      <c r="U78" s="33">
        <f t="shared" si="7"/>
        <v>243881.904</v>
      </c>
      <c r="V78" s="13">
        <f t="shared" si="8"/>
        <v>0.3</v>
      </c>
      <c r="W78" s="34">
        <f t="shared" si="9"/>
        <v>0.02</v>
      </c>
      <c r="X78" s="4">
        <f>IF(T78="S", B78*(1+'Input Fee and Elasticity Inputs'!$B$9), IF(T78="A", B78*(1+'Input Fee and Elasticity Inputs'!$B$10), IF(T78="B", B78*(1+'Input Fee and Elasticity Inputs'!$B$11), B78*(1+'Input Fee and Elasticity Inputs'!$B$12))))</f>
        <v>50764.2</v>
      </c>
      <c r="Y78" s="33">
        <f t="shared" si="10"/>
        <v>4.89</v>
      </c>
      <c r="Z78" s="33">
        <f t="shared" si="11"/>
        <v>248236.938</v>
      </c>
      <c r="AA78" s="33">
        <f t="shared" si="12"/>
        <v>4355.034</v>
      </c>
    </row>
    <row r="79">
      <c r="A79" s="3" t="s">
        <v>86</v>
      </c>
      <c r="B79" s="4">
        <v>52272.0</v>
      </c>
      <c r="C79" s="5">
        <v>12.0</v>
      </c>
      <c r="D79" s="5">
        <v>23.0</v>
      </c>
      <c r="E79" s="6">
        <v>0.86</v>
      </c>
      <c r="F79" s="7">
        <v>16.0</v>
      </c>
      <c r="G79" s="6">
        <v>0.3</v>
      </c>
      <c r="H79" s="8">
        <v>0.1344</v>
      </c>
      <c r="I79" s="8">
        <v>0.016060113666</v>
      </c>
      <c r="J79" s="9">
        <v>3.0</v>
      </c>
      <c r="K79" s="29" t="str">
        <f t="shared" si="1"/>
        <v>SMB</v>
      </c>
      <c r="L79" s="30">
        <f t="shared" si="2"/>
        <v>4.8</v>
      </c>
      <c r="M79" s="31">
        <f>PERCENTRANK(B$3:B$202,B79)*'Input Resturant Brands Scoring '!$B$3</f>
        <v>21.63</v>
      </c>
      <c r="N79" s="32">
        <f>(1-PERCENTRANK(J$3:J$202,J79))*'Input Resturant Brands Scoring '!$B$5</f>
        <v>18</v>
      </c>
      <c r="O79" s="31">
        <f>(1-PERCENTRANK(I$3:I$202,I79))*'Input Resturant Brands Scoring '!$B$6</f>
        <v>8.076</v>
      </c>
      <c r="P79" s="31">
        <f t="shared" si="3"/>
        <v>26.076</v>
      </c>
      <c r="Q79" s="31">
        <f>PERCENTRANK(L$3:L$202,L79)*'Input Resturant Brands Scoring '!$B$7</f>
        <v>10.745</v>
      </c>
      <c r="R79" s="31">
        <f t="shared" si="4"/>
        <v>58.451</v>
      </c>
      <c r="S79" s="12">
        <f t="shared" si="5"/>
        <v>59</v>
      </c>
      <c r="T79" s="12" t="str">
        <f t="shared" si="13"/>
        <v>B</v>
      </c>
      <c r="U79" s="33">
        <f t="shared" si="7"/>
        <v>250905.6</v>
      </c>
      <c r="V79" s="13">
        <f t="shared" si="8"/>
        <v>0.3</v>
      </c>
      <c r="W79" s="34">
        <f t="shared" si="9"/>
        <v>0</v>
      </c>
      <c r="X79" s="4">
        <f>IF(T79="S", B79*(1+'Input Fee and Elasticity Inputs'!$B$9), IF(T79="A", B79*(1+'Input Fee and Elasticity Inputs'!$B$10), IF(T79="B", B79*(1+'Input Fee and Elasticity Inputs'!$B$11), B79*(1+'Input Fee and Elasticity Inputs'!$B$12))))</f>
        <v>49658.4</v>
      </c>
      <c r="Y79" s="33">
        <f t="shared" si="10"/>
        <v>4.8</v>
      </c>
      <c r="Z79" s="33">
        <f t="shared" si="11"/>
        <v>238360.32</v>
      </c>
      <c r="AA79" s="33">
        <f t="shared" si="12"/>
        <v>-12545.28</v>
      </c>
    </row>
    <row r="80">
      <c r="A80" s="3" t="s">
        <v>87</v>
      </c>
      <c r="B80" s="4">
        <v>52212.0</v>
      </c>
      <c r="C80" s="5">
        <v>12.0</v>
      </c>
      <c r="D80" s="5">
        <v>15.0</v>
      </c>
      <c r="E80" s="6">
        <v>1.0</v>
      </c>
      <c r="F80" s="7">
        <v>17.2</v>
      </c>
      <c r="G80" s="6">
        <v>0.3</v>
      </c>
      <c r="H80" s="8">
        <v>0.0244</v>
      </c>
      <c r="I80" s="8">
        <v>0.023641150110000002</v>
      </c>
      <c r="J80" s="9">
        <v>13.0</v>
      </c>
      <c r="K80" s="29" t="str">
        <f t="shared" si="1"/>
        <v>SMB</v>
      </c>
      <c r="L80" s="30">
        <f t="shared" si="2"/>
        <v>5.16</v>
      </c>
      <c r="M80" s="31">
        <f>PERCENTRANK(B$3:B$202,B80)*'Input Resturant Brands Scoring '!$B$3</f>
        <v>21.455</v>
      </c>
      <c r="N80" s="32">
        <f>(1-PERCENTRANK(J$3:J$202,J80))*'Input Resturant Brands Scoring '!$B$5</f>
        <v>7.056</v>
      </c>
      <c r="O80" s="31">
        <f>(1-PERCENTRANK(I$3:I$202,I80))*'Input Resturant Brands Scoring '!$B$6</f>
        <v>3.312</v>
      </c>
      <c r="P80" s="31">
        <f t="shared" si="3"/>
        <v>10.368</v>
      </c>
      <c r="Q80" s="31">
        <f>PERCENTRANK(L$3:L$202,L80)*'Input Resturant Brands Scoring '!$B$7</f>
        <v>15.12</v>
      </c>
      <c r="R80" s="31">
        <f t="shared" si="4"/>
        <v>46.943</v>
      </c>
      <c r="S80" s="12">
        <f t="shared" si="5"/>
        <v>121</v>
      </c>
      <c r="T80" s="12" t="str">
        <f t="shared" si="13"/>
        <v>B</v>
      </c>
      <c r="U80" s="33">
        <f t="shared" si="7"/>
        <v>269413.92</v>
      </c>
      <c r="V80" s="13">
        <f t="shared" si="8"/>
        <v>0.3</v>
      </c>
      <c r="W80" s="34">
        <f t="shared" si="9"/>
        <v>0</v>
      </c>
      <c r="X80" s="4">
        <f>IF(T80="S", B80*(1+'Input Fee and Elasticity Inputs'!$B$9), IF(T80="A", B80*(1+'Input Fee and Elasticity Inputs'!$B$10), IF(T80="B", B80*(1+'Input Fee and Elasticity Inputs'!$B$11), B80*(1+'Input Fee and Elasticity Inputs'!$B$12))))</f>
        <v>49601.4</v>
      </c>
      <c r="Y80" s="33">
        <f t="shared" si="10"/>
        <v>5.16</v>
      </c>
      <c r="Z80" s="33">
        <f t="shared" si="11"/>
        <v>255943.224</v>
      </c>
      <c r="AA80" s="33">
        <f t="shared" si="12"/>
        <v>-13470.696</v>
      </c>
    </row>
    <row r="81">
      <c r="A81" s="3" t="s">
        <v>88</v>
      </c>
      <c r="B81" s="4">
        <v>51840.0</v>
      </c>
      <c r="C81" s="5">
        <v>14.0</v>
      </c>
      <c r="D81" s="5">
        <v>52.0</v>
      </c>
      <c r="E81" s="6">
        <v>0.77</v>
      </c>
      <c r="F81" s="7">
        <v>18.8</v>
      </c>
      <c r="G81" s="6">
        <v>0.24</v>
      </c>
      <c r="H81" s="8">
        <v>0.0644</v>
      </c>
      <c r="I81" s="8">
        <v>0.020626046256</v>
      </c>
      <c r="J81" s="9">
        <v>28.0</v>
      </c>
      <c r="K81" s="29" t="str">
        <f t="shared" si="1"/>
        <v>SMB</v>
      </c>
      <c r="L81" s="30">
        <f t="shared" si="2"/>
        <v>4.512</v>
      </c>
      <c r="M81" s="31">
        <f>PERCENTRANK(B$3:B$202,B81)*'Input Resturant Brands Scoring '!$B$3</f>
        <v>21.28</v>
      </c>
      <c r="N81" s="32">
        <f>(1-PERCENTRANK(J$3:J$202,J81))*'Input Resturant Brands Scoring '!$B$5</f>
        <v>1.62</v>
      </c>
      <c r="O81" s="31">
        <f>(1-PERCENTRANK(I$3:I$202,I81))*'Input Resturant Brands Scoring '!$B$6</f>
        <v>5.004</v>
      </c>
      <c r="P81" s="31">
        <f t="shared" si="3"/>
        <v>6.624</v>
      </c>
      <c r="Q81" s="31">
        <f>PERCENTRANK(L$3:L$202,L81)*'Input Resturant Brands Scoring '!$B$7</f>
        <v>7.735</v>
      </c>
      <c r="R81" s="31">
        <f t="shared" si="4"/>
        <v>35.639</v>
      </c>
      <c r="S81" s="12">
        <f t="shared" si="5"/>
        <v>164</v>
      </c>
      <c r="T81" s="12" t="str">
        <f t="shared" si="13"/>
        <v>C</v>
      </c>
      <c r="U81" s="33">
        <f t="shared" si="7"/>
        <v>233902.08</v>
      </c>
      <c r="V81" s="13">
        <f t="shared" si="8"/>
        <v>0.27</v>
      </c>
      <c r="W81" s="34">
        <f t="shared" si="9"/>
        <v>0.03</v>
      </c>
      <c r="X81" s="4">
        <f>IF(T81="S", B81*(1+'Input Fee and Elasticity Inputs'!$B$9), IF(T81="A", B81*(1+'Input Fee and Elasticity Inputs'!$B$10), IF(T81="B", B81*(1+'Input Fee and Elasticity Inputs'!$B$11), B81*(1+'Input Fee and Elasticity Inputs'!$B$12))))</f>
        <v>44064</v>
      </c>
      <c r="Y81" s="33">
        <f t="shared" si="10"/>
        <v>5.076</v>
      </c>
      <c r="Z81" s="33">
        <f t="shared" si="11"/>
        <v>223668.864</v>
      </c>
      <c r="AA81" s="33">
        <f t="shared" si="12"/>
        <v>-10233.216</v>
      </c>
    </row>
    <row r="82">
      <c r="A82" s="3" t="s">
        <v>89</v>
      </c>
      <c r="B82" s="4">
        <v>48972.0</v>
      </c>
      <c r="C82" s="5">
        <v>101.0</v>
      </c>
      <c r="D82" s="5">
        <v>673.0</v>
      </c>
      <c r="E82" s="6">
        <v>0.16</v>
      </c>
      <c r="F82" s="7">
        <v>17.3</v>
      </c>
      <c r="G82" s="6">
        <v>0.27</v>
      </c>
      <c r="H82" s="8">
        <v>0.0708</v>
      </c>
      <c r="I82" s="8">
        <v>0.014174439636</v>
      </c>
      <c r="J82" s="9">
        <v>8.0</v>
      </c>
      <c r="K82" s="29" t="str">
        <f t="shared" si="1"/>
        <v>Enterprise</v>
      </c>
      <c r="L82" s="30">
        <f t="shared" si="2"/>
        <v>4.671</v>
      </c>
      <c r="M82" s="31">
        <f>PERCENTRANK(B$3:B$202,B82)*'Input Resturant Brands Scoring '!$B$3</f>
        <v>21.105</v>
      </c>
      <c r="N82" s="32">
        <f>(1-PERCENTRANK(J$3:J$202,J82))*'Input Resturant Brands Scoring '!$B$5</f>
        <v>11.574</v>
      </c>
      <c r="O82" s="31">
        <f>(1-PERCENTRANK(I$3:I$202,I82))*'Input Resturant Brands Scoring '!$B$6</f>
        <v>9.648</v>
      </c>
      <c r="P82" s="31">
        <f t="shared" si="3"/>
        <v>21.222</v>
      </c>
      <c r="Q82" s="31">
        <f>PERCENTRANK(L$3:L$202,L82)*'Input Resturant Brands Scoring '!$B$7</f>
        <v>9.66</v>
      </c>
      <c r="R82" s="31">
        <f t="shared" si="4"/>
        <v>51.987</v>
      </c>
      <c r="S82" s="12">
        <f t="shared" si="5"/>
        <v>96</v>
      </c>
      <c r="T82" s="12" t="str">
        <f t="shared" si="13"/>
        <v>B</v>
      </c>
      <c r="U82" s="33">
        <f t="shared" si="7"/>
        <v>228748.212</v>
      </c>
      <c r="V82" s="13">
        <f t="shared" si="8"/>
        <v>0.29</v>
      </c>
      <c r="W82" s="34">
        <f t="shared" si="9"/>
        <v>0.02</v>
      </c>
      <c r="X82" s="4">
        <f>IF(T82="S", B82*(1+'Input Fee and Elasticity Inputs'!$B$9), IF(T82="A", B82*(1+'Input Fee and Elasticity Inputs'!$B$10), IF(T82="B", B82*(1+'Input Fee and Elasticity Inputs'!$B$11), B82*(1+'Input Fee and Elasticity Inputs'!$B$12))))</f>
        <v>46523.4</v>
      </c>
      <c r="Y82" s="33">
        <f t="shared" si="10"/>
        <v>5.017</v>
      </c>
      <c r="Z82" s="33">
        <f t="shared" si="11"/>
        <v>233407.8978</v>
      </c>
      <c r="AA82" s="33">
        <f t="shared" si="12"/>
        <v>4659.6858</v>
      </c>
    </row>
    <row r="83">
      <c r="A83" s="3" t="s">
        <v>90</v>
      </c>
      <c r="B83" s="4">
        <v>47208.0</v>
      </c>
      <c r="C83" s="5">
        <v>9.0</v>
      </c>
      <c r="D83" s="5">
        <v>11.0</v>
      </c>
      <c r="E83" s="6">
        <v>0.99</v>
      </c>
      <c r="F83" s="7">
        <v>18.6</v>
      </c>
      <c r="G83" s="6">
        <v>0.29</v>
      </c>
      <c r="H83" s="8">
        <v>0.0668</v>
      </c>
      <c r="I83" s="8">
        <v>0.02245320474</v>
      </c>
      <c r="J83" s="9">
        <v>3.0</v>
      </c>
      <c r="K83" s="29" t="str">
        <f t="shared" si="1"/>
        <v>SMB</v>
      </c>
      <c r="L83" s="30">
        <f t="shared" si="2"/>
        <v>5.394</v>
      </c>
      <c r="M83" s="31">
        <f>PERCENTRANK(B$3:B$202,B83)*'Input Resturant Brands Scoring '!$B$3</f>
        <v>20.93</v>
      </c>
      <c r="N83" s="32">
        <f>(1-PERCENTRANK(J$3:J$202,J83))*'Input Resturant Brands Scoring '!$B$5</f>
        <v>18</v>
      </c>
      <c r="O83" s="31">
        <f>(1-PERCENTRANK(I$3:I$202,I83))*'Input Resturant Brands Scoring '!$B$6</f>
        <v>4.164</v>
      </c>
      <c r="P83" s="31">
        <f t="shared" si="3"/>
        <v>22.164</v>
      </c>
      <c r="Q83" s="31">
        <f>PERCENTRANK(L$3:L$202,L83)*'Input Resturant Brands Scoring '!$B$7</f>
        <v>16.87</v>
      </c>
      <c r="R83" s="31">
        <f t="shared" si="4"/>
        <v>59.964</v>
      </c>
      <c r="S83" s="12">
        <f t="shared" si="5"/>
        <v>54</v>
      </c>
      <c r="T83" s="12" t="str">
        <f t="shared" si="13"/>
        <v>B</v>
      </c>
      <c r="U83" s="33">
        <f t="shared" si="7"/>
        <v>254639.952</v>
      </c>
      <c r="V83" s="13">
        <f t="shared" si="8"/>
        <v>0.3</v>
      </c>
      <c r="W83" s="34">
        <f t="shared" si="9"/>
        <v>0.01</v>
      </c>
      <c r="X83" s="4">
        <f>IF(T83="S", B83*(1+'Input Fee and Elasticity Inputs'!$B$9), IF(T83="A", B83*(1+'Input Fee and Elasticity Inputs'!$B$10), IF(T83="B", B83*(1+'Input Fee and Elasticity Inputs'!$B$11), B83*(1+'Input Fee and Elasticity Inputs'!$B$12))))</f>
        <v>44847.6</v>
      </c>
      <c r="Y83" s="33">
        <f t="shared" si="10"/>
        <v>5.58</v>
      </c>
      <c r="Z83" s="33">
        <f t="shared" si="11"/>
        <v>250249.608</v>
      </c>
      <c r="AA83" s="33">
        <f t="shared" si="12"/>
        <v>-4390.344</v>
      </c>
    </row>
    <row r="84">
      <c r="A84" s="3" t="s">
        <v>91</v>
      </c>
      <c r="B84" s="4">
        <v>46728.0</v>
      </c>
      <c r="C84" s="5">
        <v>29.0</v>
      </c>
      <c r="D84" s="5">
        <v>41.0</v>
      </c>
      <c r="E84" s="6">
        <v>0.08</v>
      </c>
      <c r="F84" s="7">
        <v>25.2</v>
      </c>
      <c r="G84" s="6">
        <v>0.3</v>
      </c>
      <c r="H84" s="8">
        <v>0.1172</v>
      </c>
      <c r="I84" s="8">
        <v>0.022276587546</v>
      </c>
      <c r="J84" s="9">
        <v>16.0</v>
      </c>
      <c r="K84" s="29" t="str">
        <f t="shared" si="1"/>
        <v>Enterprise</v>
      </c>
      <c r="L84" s="30">
        <f t="shared" si="2"/>
        <v>7.56</v>
      </c>
      <c r="M84" s="31">
        <f>PERCENTRANK(B$3:B$202,B84)*'Input Resturant Brands Scoring '!$B$3</f>
        <v>20.755</v>
      </c>
      <c r="N84" s="32">
        <f>(1-PERCENTRANK(J$3:J$202,J84))*'Input Resturant Brands Scoring '!$B$5</f>
        <v>5.148</v>
      </c>
      <c r="O84" s="31">
        <f>(1-PERCENTRANK(I$3:I$202,I84))*'Input Resturant Brands Scoring '!$B$6</f>
        <v>4.344</v>
      </c>
      <c r="P84" s="31">
        <f t="shared" si="3"/>
        <v>9.492</v>
      </c>
      <c r="Q84" s="31">
        <f>PERCENTRANK(L$3:L$202,L84)*'Input Resturant Brands Scoring '!$B$7</f>
        <v>31.675</v>
      </c>
      <c r="R84" s="31">
        <f t="shared" si="4"/>
        <v>61.922</v>
      </c>
      <c r="S84" s="12">
        <f t="shared" si="5"/>
        <v>48</v>
      </c>
      <c r="T84" s="12" t="str">
        <f t="shared" si="13"/>
        <v>A</v>
      </c>
      <c r="U84" s="33">
        <f t="shared" si="7"/>
        <v>353263.68</v>
      </c>
      <c r="V84" s="13">
        <f t="shared" si="8"/>
        <v>0.295</v>
      </c>
      <c r="W84" s="34">
        <f t="shared" si="9"/>
        <v>-0.005</v>
      </c>
      <c r="X84" s="4">
        <f>IF(T84="S", B84*(1+'Input Fee and Elasticity Inputs'!$B$9), IF(T84="A", B84*(1+'Input Fee and Elasticity Inputs'!$B$10), IF(T84="B", B84*(1+'Input Fee and Elasticity Inputs'!$B$11), B84*(1+'Input Fee and Elasticity Inputs'!$B$12))))</f>
        <v>51400.8</v>
      </c>
      <c r="Y84" s="33">
        <f t="shared" si="10"/>
        <v>7.434</v>
      </c>
      <c r="Z84" s="33">
        <f t="shared" si="11"/>
        <v>382113.5472</v>
      </c>
      <c r="AA84" s="33">
        <f t="shared" si="12"/>
        <v>28849.8672</v>
      </c>
    </row>
    <row r="85">
      <c r="A85" s="3" t="s">
        <v>92</v>
      </c>
      <c r="B85" s="4">
        <v>46440.0</v>
      </c>
      <c r="C85" s="5">
        <v>12.0</v>
      </c>
      <c r="D85" s="5">
        <v>63.0</v>
      </c>
      <c r="E85" s="6">
        <v>1.0</v>
      </c>
      <c r="F85" s="7">
        <v>23.6</v>
      </c>
      <c r="G85" s="6">
        <v>0.29</v>
      </c>
      <c r="H85" s="8">
        <v>0.142</v>
      </c>
      <c r="I85" s="8">
        <v>0.017853511428</v>
      </c>
      <c r="J85" s="9">
        <v>5.0</v>
      </c>
      <c r="K85" s="29" t="str">
        <f t="shared" si="1"/>
        <v>SMB</v>
      </c>
      <c r="L85" s="30">
        <f t="shared" si="2"/>
        <v>6.844</v>
      </c>
      <c r="M85" s="31">
        <f>PERCENTRANK(B$3:B$202,B85)*'Input Resturant Brands Scoring '!$B$3</f>
        <v>20.58</v>
      </c>
      <c r="N85" s="32">
        <f>(1-PERCENTRANK(J$3:J$202,J85))*'Input Resturant Brands Scoring '!$B$5</f>
        <v>15.462</v>
      </c>
      <c r="O85" s="31">
        <f>(1-PERCENTRANK(I$3:I$202,I85))*'Input Resturant Brands Scoring '!$B$6</f>
        <v>6.336</v>
      </c>
      <c r="P85" s="31">
        <f t="shared" si="3"/>
        <v>21.798</v>
      </c>
      <c r="Q85" s="31">
        <f>PERCENTRANK(L$3:L$202,L85)*'Input Resturant Brands Scoring '!$B$7</f>
        <v>28.14</v>
      </c>
      <c r="R85" s="31">
        <f t="shared" si="4"/>
        <v>70.518</v>
      </c>
      <c r="S85" s="12">
        <f t="shared" si="5"/>
        <v>18</v>
      </c>
      <c r="T85" s="12" t="str">
        <f t="shared" si="13"/>
        <v>A</v>
      </c>
      <c r="U85" s="33">
        <f t="shared" si="7"/>
        <v>317835.36</v>
      </c>
      <c r="V85" s="13">
        <f t="shared" si="8"/>
        <v>0.285</v>
      </c>
      <c r="W85" s="34">
        <f t="shared" si="9"/>
        <v>-0.005</v>
      </c>
      <c r="X85" s="4">
        <f>IF(T85="S", B85*(1+'Input Fee and Elasticity Inputs'!$B$9), IF(T85="A", B85*(1+'Input Fee and Elasticity Inputs'!$B$10), IF(T85="B", B85*(1+'Input Fee and Elasticity Inputs'!$B$11), B85*(1+'Input Fee and Elasticity Inputs'!$B$12))))</f>
        <v>51084</v>
      </c>
      <c r="Y85" s="33">
        <f t="shared" si="10"/>
        <v>6.726</v>
      </c>
      <c r="Z85" s="33">
        <f t="shared" si="11"/>
        <v>343590.984</v>
      </c>
      <c r="AA85" s="33">
        <f t="shared" si="12"/>
        <v>25755.624</v>
      </c>
    </row>
    <row r="86">
      <c r="A86" s="3" t="s">
        <v>93</v>
      </c>
      <c r="B86" s="4">
        <v>45864.0</v>
      </c>
      <c r="C86" s="5">
        <v>9.0</v>
      </c>
      <c r="D86" s="5">
        <v>41.0</v>
      </c>
      <c r="E86" s="6">
        <v>0.17</v>
      </c>
      <c r="F86" s="7">
        <v>23.6</v>
      </c>
      <c r="G86" s="6">
        <v>0.3</v>
      </c>
      <c r="H86" s="8">
        <v>0.1224</v>
      </c>
      <c r="I86" s="8">
        <v>0.016361072754</v>
      </c>
      <c r="J86" s="9">
        <v>15.0</v>
      </c>
      <c r="K86" s="29" t="str">
        <f t="shared" si="1"/>
        <v>SMB</v>
      </c>
      <c r="L86" s="30">
        <f t="shared" si="2"/>
        <v>7.08</v>
      </c>
      <c r="M86" s="31">
        <f>PERCENTRANK(B$3:B$202,B86)*'Input Resturant Brands Scoring '!$B$3</f>
        <v>20.405</v>
      </c>
      <c r="N86" s="32">
        <f>(1-PERCENTRANK(J$3:J$202,J86))*'Input Resturant Brands Scoring '!$B$5</f>
        <v>5.436</v>
      </c>
      <c r="O86" s="31">
        <f>(1-PERCENTRANK(I$3:I$202,I86))*'Input Resturant Brands Scoring '!$B$6</f>
        <v>7.536</v>
      </c>
      <c r="P86" s="31">
        <f t="shared" si="3"/>
        <v>12.972</v>
      </c>
      <c r="Q86" s="31">
        <f>PERCENTRANK(L$3:L$202,L86)*'Input Resturant Brands Scoring '!$B$7</f>
        <v>29.015</v>
      </c>
      <c r="R86" s="31">
        <f t="shared" si="4"/>
        <v>62.392</v>
      </c>
      <c r="S86" s="12">
        <f t="shared" si="5"/>
        <v>47</v>
      </c>
      <c r="T86" s="12" t="str">
        <f t="shared" si="13"/>
        <v>A</v>
      </c>
      <c r="U86" s="33">
        <f t="shared" si="7"/>
        <v>324717.12</v>
      </c>
      <c r="V86" s="13">
        <f t="shared" si="8"/>
        <v>0.295</v>
      </c>
      <c r="W86" s="34">
        <f t="shared" si="9"/>
        <v>-0.005</v>
      </c>
      <c r="X86" s="4">
        <f>IF(T86="S", B86*(1+'Input Fee and Elasticity Inputs'!$B$9), IF(T86="A", B86*(1+'Input Fee and Elasticity Inputs'!$B$10), IF(T86="B", B86*(1+'Input Fee and Elasticity Inputs'!$B$11), B86*(1+'Input Fee and Elasticity Inputs'!$B$12))))</f>
        <v>50450.4</v>
      </c>
      <c r="Y86" s="33">
        <f t="shared" si="10"/>
        <v>6.962</v>
      </c>
      <c r="Z86" s="33">
        <f t="shared" si="11"/>
        <v>351235.6848</v>
      </c>
      <c r="AA86" s="33">
        <f t="shared" si="12"/>
        <v>26518.5648</v>
      </c>
    </row>
    <row r="87">
      <c r="A87" s="3" t="s">
        <v>94</v>
      </c>
      <c r="B87" s="4">
        <v>44988.0</v>
      </c>
      <c r="C87" s="5">
        <v>15.0</v>
      </c>
      <c r="D87" s="5">
        <v>29.0</v>
      </c>
      <c r="E87" s="6">
        <v>0.81</v>
      </c>
      <c r="F87" s="7">
        <v>25.6</v>
      </c>
      <c r="G87" s="6">
        <v>0.3</v>
      </c>
      <c r="H87" s="8">
        <v>0.0396</v>
      </c>
      <c r="I87" s="8">
        <v>0.014802107291999999</v>
      </c>
      <c r="J87" s="9">
        <v>8.0</v>
      </c>
      <c r="K87" s="29" t="str">
        <f t="shared" si="1"/>
        <v>SMB</v>
      </c>
      <c r="L87" s="30">
        <f t="shared" si="2"/>
        <v>7.68</v>
      </c>
      <c r="M87" s="31">
        <f>PERCENTRANK(B$3:B$202,B87)*'Input Resturant Brands Scoring '!$B$3</f>
        <v>20.23</v>
      </c>
      <c r="N87" s="32">
        <f>(1-PERCENTRANK(J$3:J$202,J87))*'Input Resturant Brands Scoring '!$B$5</f>
        <v>11.574</v>
      </c>
      <c r="O87" s="31">
        <f>(1-PERCENTRANK(I$3:I$202,I87))*'Input Resturant Brands Scoring '!$B$6</f>
        <v>8.868</v>
      </c>
      <c r="P87" s="31">
        <f t="shared" si="3"/>
        <v>20.442</v>
      </c>
      <c r="Q87" s="31">
        <f>PERCENTRANK(L$3:L$202,L87)*'Input Resturant Brands Scoring '!$B$7</f>
        <v>32.025</v>
      </c>
      <c r="R87" s="31">
        <f t="shared" si="4"/>
        <v>72.697</v>
      </c>
      <c r="S87" s="12">
        <f t="shared" si="5"/>
        <v>11</v>
      </c>
      <c r="T87" s="12" t="str">
        <f t="shared" si="13"/>
        <v>A</v>
      </c>
      <c r="U87" s="33">
        <f t="shared" si="7"/>
        <v>345507.84</v>
      </c>
      <c r="V87" s="13">
        <f t="shared" si="8"/>
        <v>0.295</v>
      </c>
      <c r="W87" s="34">
        <f t="shared" si="9"/>
        <v>-0.005</v>
      </c>
      <c r="X87" s="4">
        <f>IF(T87="S", B87*(1+'Input Fee and Elasticity Inputs'!$B$9), IF(T87="A", B87*(1+'Input Fee and Elasticity Inputs'!$B$10), IF(T87="B", B87*(1+'Input Fee and Elasticity Inputs'!$B$11), B87*(1+'Input Fee and Elasticity Inputs'!$B$12))))</f>
        <v>49486.8</v>
      </c>
      <c r="Y87" s="33">
        <f t="shared" si="10"/>
        <v>7.552</v>
      </c>
      <c r="Z87" s="33">
        <f t="shared" si="11"/>
        <v>373724.3136</v>
      </c>
      <c r="AA87" s="33">
        <f t="shared" si="12"/>
        <v>28216.4736</v>
      </c>
    </row>
    <row r="88">
      <c r="A88" s="3" t="s">
        <v>95</v>
      </c>
      <c r="B88" s="4">
        <v>44352.0</v>
      </c>
      <c r="C88" s="5">
        <v>9.0</v>
      </c>
      <c r="D88" s="5">
        <v>50.0</v>
      </c>
      <c r="E88" s="6">
        <v>0.87</v>
      </c>
      <c r="F88" s="7">
        <v>13.4</v>
      </c>
      <c r="G88" s="6">
        <v>0.29</v>
      </c>
      <c r="H88" s="8">
        <v>0.0764</v>
      </c>
      <c r="I88" s="8">
        <v>0.016335971514</v>
      </c>
      <c r="J88" s="9">
        <v>26.0</v>
      </c>
      <c r="K88" s="29" t="str">
        <f t="shared" si="1"/>
        <v>SMB</v>
      </c>
      <c r="L88" s="30">
        <f t="shared" si="2"/>
        <v>3.886</v>
      </c>
      <c r="M88" s="31">
        <f>PERCENTRANK(B$3:B$202,B88)*'Input Resturant Brands Scoring '!$B$3</f>
        <v>20.055</v>
      </c>
      <c r="N88" s="32">
        <f>(1-PERCENTRANK(J$3:J$202,J88))*'Input Resturant Brands Scoring '!$B$5</f>
        <v>1.998</v>
      </c>
      <c r="O88" s="31">
        <f>(1-PERCENTRANK(I$3:I$202,I88))*'Input Resturant Brands Scoring '!$B$6</f>
        <v>7.596</v>
      </c>
      <c r="P88" s="31">
        <f t="shared" si="3"/>
        <v>9.594</v>
      </c>
      <c r="Q88" s="31">
        <f>PERCENTRANK(L$3:L$202,L88)*'Input Resturant Brands Scoring '!$B$7</f>
        <v>3.15</v>
      </c>
      <c r="R88" s="31">
        <f t="shared" si="4"/>
        <v>32.799</v>
      </c>
      <c r="S88" s="12">
        <f t="shared" si="5"/>
        <v>176</v>
      </c>
      <c r="T88" s="12" t="str">
        <f t="shared" si="13"/>
        <v>C</v>
      </c>
      <c r="U88" s="33">
        <f t="shared" si="7"/>
        <v>172351.872</v>
      </c>
      <c r="V88" s="13">
        <f t="shared" si="8"/>
        <v>0.3</v>
      </c>
      <c r="W88" s="34">
        <f t="shared" si="9"/>
        <v>0.01</v>
      </c>
      <c r="X88" s="4">
        <f>IF(T88="S", B88*(1+'Input Fee and Elasticity Inputs'!$B$9), IF(T88="A", B88*(1+'Input Fee and Elasticity Inputs'!$B$10), IF(T88="B", B88*(1+'Input Fee and Elasticity Inputs'!$B$11), B88*(1+'Input Fee and Elasticity Inputs'!$B$12))))</f>
        <v>37699.2</v>
      </c>
      <c r="Y88" s="33">
        <f t="shared" si="10"/>
        <v>4.02</v>
      </c>
      <c r="Z88" s="33">
        <f t="shared" si="11"/>
        <v>151550.784</v>
      </c>
      <c r="AA88" s="33">
        <f t="shared" si="12"/>
        <v>-20801.088</v>
      </c>
    </row>
    <row r="89">
      <c r="A89" s="3" t="s">
        <v>96</v>
      </c>
      <c r="B89" s="4">
        <v>44304.0</v>
      </c>
      <c r="C89" s="5">
        <v>9.0</v>
      </c>
      <c r="D89" s="5">
        <v>14.0</v>
      </c>
      <c r="E89" s="6">
        <v>0.38</v>
      </c>
      <c r="F89" s="7">
        <v>18.5</v>
      </c>
      <c r="G89" s="6">
        <v>0.29</v>
      </c>
      <c r="H89" s="8">
        <v>0.052</v>
      </c>
      <c r="I89" s="8">
        <v>0.014142829842</v>
      </c>
      <c r="J89" s="9">
        <v>8.0</v>
      </c>
      <c r="K89" s="29" t="str">
        <f t="shared" si="1"/>
        <v>SMB</v>
      </c>
      <c r="L89" s="30">
        <f t="shared" si="2"/>
        <v>5.365</v>
      </c>
      <c r="M89" s="31">
        <f>PERCENTRANK(B$3:B$202,B89)*'Input Resturant Brands Scoring '!$B$3</f>
        <v>19.88</v>
      </c>
      <c r="N89" s="32">
        <f>(1-PERCENTRANK(J$3:J$202,J89))*'Input Resturant Brands Scoring '!$B$5</f>
        <v>11.574</v>
      </c>
      <c r="O89" s="31">
        <f>(1-PERCENTRANK(I$3:I$202,I89))*'Input Resturant Brands Scoring '!$B$6</f>
        <v>9.888</v>
      </c>
      <c r="P89" s="31">
        <f t="shared" si="3"/>
        <v>21.462</v>
      </c>
      <c r="Q89" s="31">
        <f>PERCENTRANK(L$3:L$202,L89)*'Input Resturant Brands Scoring '!$B$7</f>
        <v>16.52</v>
      </c>
      <c r="R89" s="31">
        <f t="shared" si="4"/>
        <v>57.862</v>
      </c>
      <c r="S89" s="12">
        <f t="shared" si="5"/>
        <v>62</v>
      </c>
      <c r="T89" s="12" t="str">
        <f t="shared" si="13"/>
        <v>B</v>
      </c>
      <c r="U89" s="33">
        <f t="shared" si="7"/>
        <v>237690.96</v>
      </c>
      <c r="V89" s="13">
        <f t="shared" si="8"/>
        <v>0.3</v>
      </c>
      <c r="W89" s="34">
        <f t="shared" si="9"/>
        <v>0.01</v>
      </c>
      <c r="X89" s="4">
        <f>IF(T89="S", B89*(1+'Input Fee and Elasticity Inputs'!$B$9), IF(T89="A", B89*(1+'Input Fee and Elasticity Inputs'!$B$10), IF(T89="B", B89*(1+'Input Fee and Elasticity Inputs'!$B$11), B89*(1+'Input Fee and Elasticity Inputs'!$B$12))))</f>
        <v>42088.8</v>
      </c>
      <c r="Y89" s="33">
        <f t="shared" si="10"/>
        <v>5.55</v>
      </c>
      <c r="Z89" s="33">
        <f t="shared" si="11"/>
        <v>233592.84</v>
      </c>
      <c r="AA89" s="33">
        <f t="shared" si="12"/>
        <v>-4098.12</v>
      </c>
    </row>
    <row r="90">
      <c r="A90" s="3" t="s">
        <v>97</v>
      </c>
      <c r="B90" s="4">
        <v>44016.0</v>
      </c>
      <c r="C90" s="5">
        <v>9.0</v>
      </c>
      <c r="D90" s="5">
        <v>13.0</v>
      </c>
      <c r="E90" s="6">
        <v>0.3</v>
      </c>
      <c r="F90" s="7">
        <v>13.1</v>
      </c>
      <c r="G90" s="6">
        <v>0.3</v>
      </c>
      <c r="H90" s="8">
        <v>0.0312</v>
      </c>
      <c r="I90" s="8">
        <v>0.015159368453999999</v>
      </c>
      <c r="J90" s="9">
        <v>8.0</v>
      </c>
      <c r="K90" s="29" t="str">
        <f t="shared" si="1"/>
        <v>SMB</v>
      </c>
      <c r="L90" s="30">
        <f t="shared" si="2"/>
        <v>3.93</v>
      </c>
      <c r="M90" s="31">
        <f>PERCENTRANK(B$3:B$202,B90)*'Input Resturant Brands Scoring '!$B$3</f>
        <v>19.705</v>
      </c>
      <c r="N90" s="32">
        <f>(1-PERCENTRANK(J$3:J$202,J90))*'Input Resturant Brands Scoring '!$B$5</f>
        <v>11.574</v>
      </c>
      <c r="O90" s="31">
        <f>(1-PERCENTRANK(I$3:I$202,I90))*'Input Resturant Brands Scoring '!$B$6</f>
        <v>8.448</v>
      </c>
      <c r="P90" s="31">
        <f t="shared" si="3"/>
        <v>20.022</v>
      </c>
      <c r="Q90" s="31">
        <f>PERCENTRANK(L$3:L$202,L90)*'Input Resturant Brands Scoring '!$B$7</f>
        <v>3.325</v>
      </c>
      <c r="R90" s="31">
        <f t="shared" si="4"/>
        <v>43.052</v>
      </c>
      <c r="S90" s="12">
        <f t="shared" si="5"/>
        <v>139</v>
      </c>
      <c r="T90" s="12" t="str">
        <f t="shared" si="13"/>
        <v>B</v>
      </c>
      <c r="U90" s="33">
        <f t="shared" si="7"/>
        <v>172982.88</v>
      </c>
      <c r="V90" s="13">
        <f t="shared" si="8"/>
        <v>0.3</v>
      </c>
      <c r="W90" s="34">
        <f t="shared" si="9"/>
        <v>0</v>
      </c>
      <c r="X90" s="4">
        <f>IF(T90="S", B90*(1+'Input Fee and Elasticity Inputs'!$B$9), IF(T90="A", B90*(1+'Input Fee and Elasticity Inputs'!$B$10), IF(T90="B", B90*(1+'Input Fee and Elasticity Inputs'!$B$11), B90*(1+'Input Fee and Elasticity Inputs'!$B$12))))</f>
        <v>41815.2</v>
      </c>
      <c r="Y90" s="33">
        <f t="shared" si="10"/>
        <v>3.93</v>
      </c>
      <c r="Z90" s="33">
        <f t="shared" si="11"/>
        <v>164333.736</v>
      </c>
      <c r="AA90" s="33">
        <f t="shared" si="12"/>
        <v>-8649.144</v>
      </c>
    </row>
    <row r="91">
      <c r="A91" s="3" t="s">
        <v>98</v>
      </c>
      <c r="B91" s="4">
        <v>43524.0</v>
      </c>
      <c r="C91" s="5">
        <v>18.0</v>
      </c>
      <c r="D91" s="5">
        <v>27.0</v>
      </c>
      <c r="E91" s="6">
        <v>0.64</v>
      </c>
      <c r="F91" s="7">
        <v>28.0</v>
      </c>
      <c r="G91" s="6">
        <v>0.25</v>
      </c>
      <c r="H91" s="8">
        <v>0.07</v>
      </c>
      <c r="I91" s="8">
        <v>0.026170939422</v>
      </c>
      <c r="J91" s="9">
        <v>37.0</v>
      </c>
      <c r="K91" s="29" t="str">
        <f t="shared" si="1"/>
        <v>SMB</v>
      </c>
      <c r="L91" s="30">
        <f t="shared" si="2"/>
        <v>7</v>
      </c>
      <c r="M91" s="31">
        <f>PERCENTRANK(B$3:B$202,B91)*'Input Resturant Brands Scoring '!$B$3</f>
        <v>19.53</v>
      </c>
      <c r="N91" s="32">
        <f>(1-PERCENTRANK(J$3:J$202,J91))*'Input Resturant Brands Scoring '!$B$5</f>
        <v>0.81</v>
      </c>
      <c r="O91" s="31">
        <f>(1-PERCENTRANK(I$3:I$202,I91))*'Input Resturant Brands Scoring '!$B$6</f>
        <v>2.172</v>
      </c>
      <c r="P91" s="31">
        <f t="shared" si="3"/>
        <v>2.982</v>
      </c>
      <c r="Q91" s="31">
        <f>PERCENTRANK(L$3:L$202,L91)*'Input Resturant Brands Scoring '!$B$7</f>
        <v>28.49</v>
      </c>
      <c r="R91" s="31">
        <f t="shared" si="4"/>
        <v>51.002</v>
      </c>
      <c r="S91" s="12">
        <f t="shared" si="5"/>
        <v>99</v>
      </c>
      <c r="T91" s="12" t="str">
        <f t="shared" si="13"/>
        <v>B</v>
      </c>
      <c r="U91" s="33">
        <f t="shared" si="7"/>
        <v>304668</v>
      </c>
      <c r="V91" s="13">
        <f t="shared" si="8"/>
        <v>0.27</v>
      </c>
      <c r="W91" s="34">
        <f t="shared" si="9"/>
        <v>0.02</v>
      </c>
      <c r="X91" s="4">
        <f>IF(T91="S", B91*(1+'Input Fee and Elasticity Inputs'!$B$9), IF(T91="A", B91*(1+'Input Fee and Elasticity Inputs'!$B$10), IF(T91="B", B91*(1+'Input Fee and Elasticity Inputs'!$B$11), B91*(1+'Input Fee and Elasticity Inputs'!$B$12))))</f>
        <v>41347.8</v>
      </c>
      <c r="Y91" s="33">
        <f t="shared" si="10"/>
        <v>7.56</v>
      </c>
      <c r="Z91" s="33">
        <f t="shared" si="11"/>
        <v>312589.368</v>
      </c>
      <c r="AA91" s="33">
        <f t="shared" si="12"/>
        <v>7921.368</v>
      </c>
    </row>
    <row r="92">
      <c r="A92" s="3" t="s">
        <v>99</v>
      </c>
      <c r="B92" s="4">
        <v>43452.0</v>
      </c>
      <c r="C92" s="5">
        <v>76.0</v>
      </c>
      <c r="D92" s="5">
        <v>149.0</v>
      </c>
      <c r="E92" s="6">
        <v>0.51</v>
      </c>
      <c r="F92" s="7">
        <v>26.3</v>
      </c>
      <c r="G92" s="6">
        <v>0.27</v>
      </c>
      <c r="H92" s="8">
        <v>0.0524</v>
      </c>
      <c r="I92" s="8">
        <v>0.015129478476</v>
      </c>
      <c r="J92" s="9">
        <v>8.0</v>
      </c>
      <c r="K92" s="29" t="str">
        <f t="shared" si="1"/>
        <v>Enterprise</v>
      </c>
      <c r="L92" s="30">
        <f t="shared" si="2"/>
        <v>7.101</v>
      </c>
      <c r="M92" s="31">
        <f>PERCENTRANK(B$3:B$202,B92)*'Input Resturant Brands Scoring '!$B$3</f>
        <v>19.355</v>
      </c>
      <c r="N92" s="32">
        <f>(1-PERCENTRANK(J$3:J$202,J92))*'Input Resturant Brands Scoring '!$B$5</f>
        <v>11.574</v>
      </c>
      <c r="O92" s="31">
        <f>(1-PERCENTRANK(I$3:I$202,I92))*'Input Resturant Brands Scoring '!$B$6</f>
        <v>8.508</v>
      </c>
      <c r="P92" s="31">
        <f t="shared" si="3"/>
        <v>20.082</v>
      </c>
      <c r="Q92" s="31">
        <f>PERCENTRANK(L$3:L$202,L92)*'Input Resturant Brands Scoring '!$B$7</f>
        <v>29.19</v>
      </c>
      <c r="R92" s="31">
        <f t="shared" si="4"/>
        <v>68.627</v>
      </c>
      <c r="S92" s="12">
        <f t="shared" si="5"/>
        <v>25</v>
      </c>
      <c r="T92" s="12" t="str">
        <f t="shared" si="13"/>
        <v>A</v>
      </c>
      <c r="U92" s="33">
        <f t="shared" si="7"/>
        <v>308552.652</v>
      </c>
      <c r="V92" s="13">
        <f t="shared" si="8"/>
        <v>0.265</v>
      </c>
      <c r="W92" s="34">
        <f t="shared" si="9"/>
        <v>-0.005</v>
      </c>
      <c r="X92" s="4">
        <f>IF(T92="S", B92*(1+'Input Fee and Elasticity Inputs'!$B$9), IF(T92="A", B92*(1+'Input Fee and Elasticity Inputs'!$B$10), IF(T92="B", B92*(1+'Input Fee and Elasticity Inputs'!$B$11), B92*(1+'Input Fee and Elasticity Inputs'!$B$12))))</f>
        <v>47797.2</v>
      </c>
      <c r="Y92" s="33">
        <f t="shared" si="10"/>
        <v>6.9695</v>
      </c>
      <c r="Z92" s="33">
        <f t="shared" si="11"/>
        <v>333122.5854</v>
      </c>
      <c r="AA92" s="33">
        <f t="shared" si="12"/>
        <v>24569.9334</v>
      </c>
    </row>
    <row r="93">
      <c r="A93" s="3" t="s">
        <v>100</v>
      </c>
      <c r="B93" s="4">
        <v>43200.0</v>
      </c>
      <c r="C93" s="5">
        <v>12.0</v>
      </c>
      <c r="D93" s="5">
        <v>16.0</v>
      </c>
      <c r="E93" s="6">
        <v>0.46</v>
      </c>
      <c r="F93" s="7">
        <v>23.1</v>
      </c>
      <c r="G93" s="6">
        <v>0.22</v>
      </c>
      <c r="H93" s="8">
        <v>0.1156</v>
      </c>
      <c r="I93" s="8">
        <v>0.02797336671</v>
      </c>
      <c r="J93" s="9">
        <v>8.0</v>
      </c>
      <c r="K93" s="29" t="str">
        <f t="shared" si="1"/>
        <v>SMB</v>
      </c>
      <c r="L93" s="30">
        <f t="shared" si="2"/>
        <v>5.082</v>
      </c>
      <c r="M93" s="31">
        <f>PERCENTRANK(B$3:B$202,B93)*'Input Resturant Brands Scoring '!$B$3</f>
        <v>19.18</v>
      </c>
      <c r="N93" s="32">
        <f>(1-PERCENTRANK(J$3:J$202,J93))*'Input Resturant Brands Scoring '!$B$5</f>
        <v>11.574</v>
      </c>
      <c r="O93" s="31">
        <f>(1-PERCENTRANK(I$3:I$202,I93))*'Input Resturant Brands Scoring '!$B$6</f>
        <v>1.572</v>
      </c>
      <c r="P93" s="31">
        <f t="shared" si="3"/>
        <v>13.146</v>
      </c>
      <c r="Q93" s="31">
        <f>PERCENTRANK(L$3:L$202,L93)*'Input Resturant Brands Scoring '!$B$7</f>
        <v>13.195</v>
      </c>
      <c r="R93" s="31">
        <f t="shared" si="4"/>
        <v>45.521</v>
      </c>
      <c r="S93" s="12">
        <f t="shared" si="5"/>
        <v>132</v>
      </c>
      <c r="T93" s="12" t="str">
        <f t="shared" si="13"/>
        <v>B</v>
      </c>
      <c r="U93" s="33">
        <f t="shared" si="7"/>
        <v>219542.4</v>
      </c>
      <c r="V93" s="13">
        <f t="shared" si="8"/>
        <v>0.24</v>
      </c>
      <c r="W93" s="34">
        <f t="shared" si="9"/>
        <v>0.02</v>
      </c>
      <c r="X93" s="4">
        <f>IF(T93="S", B93*(1+'Input Fee and Elasticity Inputs'!$B$9), IF(T93="A", B93*(1+'Input Fee and Elasticity Inputs'!$B$10), IF(T93="B", B93*(1+'Input Fee and Elasticity Inputs'!$B$11), B93*(1+'Input Fee and Elasticity Inputs'!$B$12))))</f>
        <v>41040</v>
      </c>
      <c r="Y93" s="33">
        <f t="shared" si="10"/>
        <v>5.544</v>
      </c>
      <c r="Z93" s="33">
        <f t="shared" si="11"/>
        <v>227525.76</v>
      </c>
      <c r="AA93" s="33">
        <f t="shared" si="12"/>
        <v>7983.36</v>
      </c>
    </row>
    <row r="94">
      <c r="A94" s="3" t="s">
        <v>101</v>
      </c>
      <c r="B94" s="4">
        <v>42900.0</v>
      </c>
      <c r="C94" s="5">
        <v>9.0</v>
      </c>
      <c r="D94" s="5">
        <v>60.0</v>
      </c>
      <c r="E94" s="6">
        <v>0.22</v>
      </c>
      <c r="F94" s="7">
        <v>18.8</v>
      </c>
      <c r="G94" s="6">
        <v>0.27</v>
      </c>
      <c r="H94" s="8">
        <v>0.016</v>
      </c>
      <c r="I94" s="8">
        <v>0.01879050591</v>
      </c>
      <c r="J94" s="9">
        <v>7.0</v>
      </c>
      <c r="K94" s="29" t="str">
        <f t="shared" si="1"/>
        <v>SMB</v>
      </c>
      <c r="L94" s="30">
        <f t="shared" si="2"/>
        <v>5.076</v>
      </c>
      <c r="M94" s="31">
        <f>PERCENTRANK(B$3:B$202,B94)*'Input Resturant Brands Scoring '!$B$3</f>
        <v>19.005</v>
      </c>
      <c r="N94" s="32">
        <f>(1-PERCENTRANK(J$3:J$202,J94))*'Input Resturant Brands Scoring '!$B$5</f>
        <v>12.204</v>
      </c>
      <c r="O94" s="31">
        <f>(1-PERCENTRANK(I$3:I$202,I94))*'Input Resturant Brands Scoring '!$B$6</f>
        <v>5.844</v>
      </c>
      <c r="P94" s="31">
        <f t="shared" si="3"/>
        <v>18.048</v>
      </c>
      <c r="Q94" s="31">
        <f>PERCENTRANK(L$3:L$202,L94)*'Input Resturant Brands Scoring '!$B$7</f>
        <v>13.02</v>
      </c>
      <c r="R94" s="31">
        <f t="shared" si="4"/>
        <v>50.073</v>
      </c>
      <c r="S94" s="12">
        <f t="shared" si="5"/>
        <v>106</v>
      </c>
      <c r="T94" s="12" t="str">
        <f t="shared" si="13"/>
        <v>B</v>
      </c>
      <c r="U94" s="33">
        <f t="shared" si="7"/>
        <v>217760.4</v>
      </c>
      <c r="V94" s="13">
        <f t="shared" si="8"/>
        <v>0.29</v>
      </c>
      <c r="W94" s="34">
        <f t="shared" si="9"/>
        <v>0.02</v>
      </c>
      <c r="X94" s="4">
        <f>IF(T94="S", B94*(1+'Input Fee and Elasticity Inputs'!$B$9), IF(T94="A", B94*(1+'Input Fee and Elasticity Inputs'!$B$10), IF(T94="B", B94*(1+'Input Fee and Elasticity Inputs'!$B$11), B94*(1+'Input Fee and Elasticity Inputs'!$B$12))))</f>
        <v>40755</v>
      </c>
      <c r="Y94" s="33">
        <f t="shared" si="10"/>
        <v>5.452</v>
      </c>
      <c r="Z94" s="33">
        <f t="shared" si="11"/>
        <v>222196.26</v>
      </c>
      <c r="AA94" s="33">
        <f t="shared" si="12"/>
        <v>4435.86</v>
      </c>
    </row>
    <row r="95">
      <c r="A95" s="3" t="s">
        <v>102</v>
      </c>
      <c r="B95" s="4">
        <v>42780.0</v>
      </c>
      <c r="C95" s="5">
        <v>17.0</v>
      </c>
      <c r="D95" s="5">
        <v>41.0</v>
      </c>
      <c r="E95" s="6">
        <v>0.46</v>
      </c>
      <c r="F95" s="7">
        <v>23.5</v>
      </c>
      <c r="G95" s="6">
        <v>0.3</v>
      </c>
      <c r="H95" s="8">
        <v>0.0388</v>
      </c>
      <c r="I95" s="8">
        <v>0.026138084058</v>
      </c>
      <c r="J95" s="9">
        <v>10.0</v>
      </c>
      <c r="K95" s="29" t="str">
        <f t="shared" si="1"/>
        <v>SMB</v>
      </c>
      <c r="L95" s="30">
        <f t="shared" si="2"/>
        <v>7.05</v>
      </c>
      <c r="M95" s="31">
        <f>PERCENTRANK(B$3:B$202,B95)*'Input Resturant Brands Scoring '!$B$3</f>
        <v>18.83</v>
      </c>
      <c r="N95" s="32">
        <f>(1-PERCENTRANK(J$3:J$202,J95))*'Input Resturant Brands Scoring '!$B$5</f>
        <v>9.054</v>
      </c>
      <c r="O95" s="31">
        <f>(1-PERCENTRANK(I$3:I$202,I95))*'Input Resturant Brands Scoring '!$B$6</f>
        <v>2.232</v>
      </c>
      <c r="P95" s="31">
        <f t="shared" si="3"/>
        <v>11.286</v>
      </c>
      <c r="Q95" s="31">
        <f>PERCENTRANK(L$3:L$202,L95)*'Input Resturant Brands Scoring '!$B$7</f>
        <v>28.84</v>
      </c>
      <c r="R95" s="31">
        <f t="shared" si="4"/>
        <v>58.956</v>
      </c>
      <c r="S95" s="12">
        <f t="shared" si="5"/>
        <v>57</v>
      </c>
      <c r="T95" s="12" t="str">
        <f t="shared" si="13"/>
        <v>B</v>
      </c>
      <c r="U95" s="33">
        <f t="shared" si="7"/>
        <v>301599</v>
      </c>
      <c r="V95" s="13">
        <f t="shared" si="8"/>
        <v>0.3</v>
      </c>
      <c r="W95" s="34">
        <f t="shared" si="9"/>
        <v>0</v>
      </c>
      <c r="X95" s="4">
        <f>IF(T95="S", B95*(1+'Input Fee and Elasticity Inputs'!$B$9), IF(T95="A", B95*(1+'Input Fee and Elasticity Inputs'!$B$10), IF(T95="B", B95*(1+'Input Fee and Elasticity Inputs'!$B$11), B95*(1+'Input Fee and Elasticity Inputs'!$B$12))))</f>
        <v>40641</v>
      </c>
      <c r="Y95" s="33">
        <f t="shared" si="10"/>
        <v>7.05</v>
      </c>
      <c r="Z95" s="33">
        <f t="shared" si="11"/>
        <v>286519.05</v>
      </c>
      <c r="AA95" s="33">
        <f t="shared" si="12"/>
        <v>-15079.95</v>
      </c>
    </row>
    <row r="96">
      <c r="A96" s="3" t="s">
        <v>103</v>
      </c>
      <c r="B96" s="4">
        <v>40800.0</v>
      </c>
      <c r="C96" s="5">
        <v>14.0</v>
      </c>
      <c r="D96" s="5">
        <v>15.0</v>
      </c>
      <c r="E96" s="6">
        <v>0.71</v>
      </c>
      <c r="F96" s="7">
        <v>33.7</v>
      </c>
      <c r="G96" s="6">
        <v>0.27</v>
      </c>
      <c r="H96" s="8">
        <v>0.0404</v>
      </c>
      <c r="I96" s="8">
        <v>0.027617445606</v>
      </c>
      <c r="J96" s="9">
        <v>5.0</v>
      </c>
      <c r="K96" s="29" t="str">
        <f t="shared" si="1"/>
        <v>SMB</v>
      </c>
      <c r="L96" s="30">
        <f t="shared" si="2"/>
        <v>9.099</v>
      </c>
      <c r="M96" s="31">
        <f>PERCENTRANK(B$3:B$202,B96)*'Input Resturant Brands Scoring '!$B$3</f>
        <v>18.655</v>
      </c>
      <c r="N96" s="32">
        <f>(1-PERCENTRANK(J$3:J$202,J96))*'Input Resturant Brands Scoring '!$B$5</f>
        <v>15.462</v>
      </c>
      <c r="O96" s="31">
        <f>(1-PERCENTRANK(I$3:I$202,I96))*'Input Resturant Brands Scoring '!$B$6</f>
        <v>1.692</v>
      </c>
      <c r="P96" s="31">
        <f t="shared" si="3"/>
        <v>17.154</v>
      </c>
      <c r="Q96" s="31">
        <f>PERCENTRANK(L$3:L$202,L96)*'Input Resturant Brands Scoring '!$B$7</f>
        <v>34.3</v>
      </c>
      <c r="R96" s="31">
        <f t="shared" si="4"/>
        <v>70.109</v>
      </c>
      <c r="S96" s="12">
        <f t="shared" si="5"/>
        <v>20</v>
      </c>
      <c r="T96" s="12" t="str">
        <f t="shared" si="13"/>
        <v>A</v>
      </c>
      <c r="U96" s="33">
        <f t="shared" si="7"/>
        <v>371239.2</v>
      </c>
      <c r="V96" s="13">
        <f t="shared" si="8"/>
        <v>0.265</v>
      </c>
      <c r="W96" s="34">
        <f t="shared" si="9"/>
        <v>-0.005</v>
      </c>
      <c r="X96" s="4">
        <f>IF(T96="S", B96*(1+'Input Fee and Elasticity Inputs'!$B$9), IF(T96="A", B96*(1+'Input Fee and Elasticity Inputs'!$B$10), IF(T96="B", B96*(1+'Input Fee and Elasticity Inputs'!$B$11), B96*(1+'Input Fee and Elasticity Inputs'!$B$12))))</f>
        <v>44880</v>
      </c>
      <c r="Y96" s="33">
        <f t="shared" si="10"/>
        <v>8.9305</v>
      </c>
      <c r="Z96" s="33">
        <f t="shared" si="11"/>
        <v>400800.84</v>
      </c>
      <c r="AA96" s="33">
        <f t="shared" si="12"/>
        <v>29561.64</v>
      </c>
    </row>
    <row r="97">
      <c r="A97" s="3" t="s">
        <v>104</v>
      </c>
      <c r="B97" s="4">
        <v>39648.0</v>
      </c>
      <c r="C97" s="5">
        <v>9.0</v>
      </c>
      <c r="D97" s="5">
        <v>75.0</v>
      </c>
      <c r="E97" s="6">
        <v>0.71</v>
      </c>
      <c r="F97" s="7">
        <v>19.2</v>
      </c>
      <c r="G97" s="6">
        <v>0.3</v>
      </c>
      <c r="H97" s="8">
        <v>0.0928</v>
      </c>
      <c r="I97" s="8">
        <v>0.019479785232000002</v>
      </c>
      <c r="J97" s="9">
        <v>10.0</v>
      </c>
      <c r="K97" s="29" t="str">
        <f t="shared" si="1"/>
        <v>SMB</v>
      </c>
      <c r="L97" s="30">
        <f t="shared" si="2"/>
        <v>5.76</v>
      </c>
      <c r="M97" s="31">
        <f>PERCENTRANK(B$3:B$202,B97)*'Input Resturant Brands Scoring '!$B$3</f>
        <v>18.48</v>
      </c>
      <c r="N97" s="32">
        <f>(1-PERCENTRANK(J$3:J$202,J97))*'Input Resturant Brands Scoring '!$B$5</f>
        <v>9.054</v>
      </c>
      <c r="O97" s="31">
        <f>(1-PERCENTRANK(I$3:I$202,I97))*'Input Resturant Brands Scoring '!$B$6</f>
        <v>5.724</v>
      </c>
      <c r="P97" s="31">
        <f t="shared" si="3"/>
        <v>14.778</v>
      </c>
      <c r="Q97" s="31">
        <f>PERCENTRANK(L$3:L$202,L97)*'Input Resturant Brands Scoring '!$B$7</f>
        <v>21.28</v>
      </c>
      <c r="R97" s="31">
        <f t="shared" si="4"/>
        <v>54.538</v>
      </c>
      <c r="S97" s="12">
        <f t="shared" si="5"/>
        <v>80</v>
      </c>
      <c r="T97" s="12" t="str">
        <f t="shared" si="13"/>
        <v>B</v>
      </c>
      <c r="U97" s="33">
        <f t="shared" si="7"/>
        <v>228372.48</v>
      </c>
      <c r="V97" s="13">
        <f t="shared" si="8"/>
        <v>0.3</v>
      </c>
      <c r="W97" s="34">
        <f t="shared" si="9"/>
        <v>0</v>
      </c>
      <c r="X97" s="4">
        <f>IF(T97="S", B97*(1+'Input Fee and Elasticity Inputs'!$B$9), IF(T97="A", B97*(1+'Input Fee and Elasticity Inputs'!$B$10), IF(T97="B", B97*(1+'Input Fee and Elasticity Inputs'!$B$11), B97*(1+'Input Fee and Elasticity Inputs'!$B$12))))</f>
        <v>37665.6</v>
      </c>
      <c r="Y97" s="33">
        <f t="shared" si="10"/>
        <v>5.76</v>
      </c>
      <c r="Z97" s="33">
        <f t="shared" si="11"/>
        <v>216953.856</v>
      </c>
      <c r="AA97" s="33">
        <f t="shared" si="12"/>
        <v>-11418.624</v>
      </c>
    </row>
    <row r="98">
      <c r="A98" s="3" t="s">
        <v>105</v>
      </c>
      <c r="B98" s="4">
        <v>39300.0</v>
      </c>
      <c r="C98" s="5">
        <v>17.0</v>
      </c>
      <c r="D98" s="5">
        <v>32.0</v>
      </c>
      <c r="E98" s="6">
        <v>0.94</v>
      </c>
      <c r="F98" s="7">
        <v>13.6</v>
      </c>
      <c r="G98" s="6">
        <v>0.3</v>
      </c>
      <c r="H98" s="8">
        <v>0.1248</v>
      </c>
      <c r="I98" s="8">
        <v>0.026363703924</v>
      </c>
      <c r="J98" s="9">
        <v>6.0</v>
      </c>
      <c r="K98" s="29" t="str">
        <f t="shared" si="1"/>
        <v>SMB</v>
      </c>
      <c r="L98" s="30">
        <f t="shared" si="2"/>
        <v>4.08</v>
      </c>
      <c r="M98" s="31">
        <f>PERCENTRANK(B$3:B$202,B98)*'Input Resturant Brands Scoring '!$B$3</f>
        <v>18.305</v>
      </c>
      <c r="N98" s="32">
        <f>(1-PERCENTRANK(J$3:J$202,J98))*'Input Resturant Brands Scoring '!$B$5</f>
        <v>14.022</v>
      </c>
      <c r="O98" s="31">
        <f>(1-PERCENTRANK(I$3:I$202,I98))*'Input Resturant Brands Scoring '!$B$6</f>
        <v>2.052</v>
      </c>
      <c r="P98" s="31">
        <f t="shared" si="3"/>
        <v>16.074</v>
      </c>
      <c r="Q98" s="31">
        <f>PERCENTRANK(L$3:L$202,L98)*'Input Resturant Brands Scoring '!$B$7</f>
        <v>4.235</v>
      </c>
      <c r="R98" s="31">
        <f t="shared" si="4"/>
        <v>38.614</v>
      </c>
      <c r="S98" s="12">
        <f t="shared" si="5"/>
        <v>153</v>
      </c>
      <c r="T98" s="12" t="str">
        <f t="shared" si="13"/>
        <v>C</v>
      </c>
      <c r="U98" s="33">
        <f t="shared" si="7"/>
        <v>160344</v>
      </c>
      <c r="V98" s="13">
        <f t="shared" si="8"/>
        <v>0.3</v>
      </c>
      <c r="W98" s="34">
        <f t="shared" si="9"/>
        <v>0</v>
      </c>
      <c r="X98" s="4">
        <f>IF(T98="S", B98*(1+'Input Fee and Elasticity Inputs'!$B$9), IF(T98="A", B98*(1+'Input Fee and Elasticity Inputs'!$B$10), IF(T98="B", B98*(1+'Input Fee and Elasticity Inputs'!$B$11), B98*(1+'Input Fee and Elasticity Inputs'!$B$12))))</f>
        <v>33405</v>
      </c>
      <c r="Y98" s="33">
        <f t="shared" si="10"/>
        <v>4.08</v>
      </c>
      <c r="Z98" s="33">
        <f t="shared" si="11"/>
        <v>136292.4</v>
      </c>
      <c r="AA98" s="33">
        <f t="shared" si="12"/>
        <v>-24051.6</v>
      </c>
    </row>
    <row r="99">
      <c r="A99" s="3" t="s">
        <v>106</v>
      </c>
      <c r="B99" s="4">
        <v>39060.0</v>
      </c>
      <c r="C99" s="5">
        <v>18.0</v>
      </c>
      <c r="D99" s="5">
        <v>42.0</v>
      </c>
      <c r="E99" s="6">
        <v>0.23</v>
      </c>
      <c r="F99" s="7">
        <v>20.0</v>
      </c>
      <c r="G99" s="6">
        <v>0.15</v>
      </c>
      <c r="H99" s="8">
        <v>0.0828</v>
      </c>
      <c r="I99" s="8">
        <v>0.015885373656</v>
      </c>
      <c r="J99" s="9">
        <v>14.0</v>
      </c>
      <c r="K99" s="29" t="str">
        <f t="shared" si="1"/>
        <v>SMB</v>
      </c>
      <c r="L99" s="30">
        <f t="shared" si="2"/>
        <v>3</v>
      </c>
      <c r="M99" s="31">
        <f>PERCENTRANK(B$3:B$202,B99)*'Input Resturant Brands Scoring '!$B$3</f>
        <v>18.13</v>
      </c>
      <c r="N99" s="32">
        <f>(1-PERCENTRANK(J$3:J$202,J99))*'Input Resturant Brands Scoring '!$B$5</f>
        <v>6.426</v>
      </c>
      <c r="O99" s="31">
        <f>(1-PERCENTRANK(I$3:I$202,I99))*'Input Resturant Brands Scoring '!$B$6</f>
        <v>8.136</v>
      </c>
      <c r="P99" s="31">
        <f t="shared" si="3"/>
        <v>14.562</v>
      </c>
      <c r="Q99" s="31">
        <f>PERCENTRANK(L$3:L$202,L99)*'Input Resturant Brands Scoring '!$B$7</f>
        <v>0.525</v>
      </c>
      <c r="R99" s="31">
        <f t="shared" si="4"/>
        <v>33.217</v>
      </c>
      <c r="S99" s="12">
        <f t="shared" si="5"/>
        <v>173</v>
      </c>
      <c r="T99" s="12" t="str">
        <f t="shared" si="13"/>
        <v>C</v>
      </c>
      <c r="U99" s="33">
        <f t="shared" si="7"/>
        <v>117180</v>
      </c>
      <c r="V99" s="13">
        <f t="shared" si="8"/>
        <v>0.18</v>
      </c>
      <c r="W99" s="34">
        <f t="shared" si="9"/>
        <v>0.03</v>
      </c>
      <c r="X99" s="4">
        <f>IF(T99="S", B99*(1+'Input Fee and Elasticity Inputs'!$B$9), IF(T99="A", B99*(1+'Input Fee and Elasticity Inputs'!$B$10), IF(T99="B", B99*(1+'Input Fee and Elasticity Inputs'!$B$11), B99*(1+'Input Fee and Elasticity Inputs'!$B$12))))</f>
        <v>33201</v>
      </c>
      <c r="Y99" s="33">
        <f t="shared" si="10"/>
        <v>3.6</v>
      </c>
      <c r="Z99" s="33">
        <f t="shared" si="11"/>
        <v>119523.6</v>
      </c>
      <c r="AA99" s="33">
        <f t="shared" si="12"/>
        <v>2343.6</v>
      </c>
    </row>
    <row r="100">
      <c r="A100" s="3" t="s">
        <v>107</v>
      </c>
      <c r="B100" s="4">
        <v>39000.0</v>
      </c>
      <c r="C100" s="5">
        <v>8.0</v>
      </c>
      <c r="D100" s="5">
        <v>66.0</v>
      </c>
      <c r="E100" s="6">
        <v>0.36</v>
      </c>
      <c r="F100" s="7">
        <v>18.1</v>
      </c>
      <c r="G100" s="6">
        <v>0.3</v>
      </c>
      <c r="H100" s="8">
        <v>0.054</v>
      </c>
      <c r="I100" s="8">
        <v>0.024492753623999997</v>
      </c>
      <c r="J100" s="9">
        <v>16.0</v>
      </c>
      <c r="K100" s="29" t="str">
        <f t="shared" si="1"/>
        <v>SMB</v>
      </c>
      <c r="L100" s="30">
        <f t="shared" si="2"/>
        <v>5.43</v>
      </c>
      <c r="M100" s="31">
        <f>PERCENTRANK(B$3:B$202,B100)*'Input Resturant Brands Scoring '!$B$3</f>
        <v>17.955</v>
      </c>
      <c r="N100" s="32">
        <f>(1-PERCENTRANK(J$3:J$202,J100))*'Input Resturant Brands Scoring '!$B$5</f>
        <v>5.148</v>
      </c>
      <c r="O100" s="31">
        <f>(1-PERCENTRANK(I$3:I$202,I100))*'Input Resturant Brands Scoring '!$B$6</f>
        <v>2.652</v>
      </c>
      <c r="P100" s="31">
        <f t="shared" si="3"/>
        <v>7.8</v>
      </c>
      <c r="Q100" s="31">
        <f>PERCENTRANK(L$3:L$202,L100)*'Input Resturant Brands Scoring '!$B$7</f>
        <v>17.955</v>
      </c>
      <c r="R100" s="31">
        <f t="shared" si="4"/>
        <v>43.71</v>
      </c>
      <c r="S100" s="12">
        <f t="shared" si="5"/>
        <v>137</v>
      </c>
      <c r="T100" s="12" t="str">
        <f t="shared" si="13"/>
        <v>B</v>
      </c>
      <c r="U100" s="33">
        <f t="shared" si="7"/>
        <v>211770</v>
      </c>
      <c r="V100" s="13">
        <f t="shared" si="8"/>
        <v>0.3</v>
      </c>
      <c r="W100" s="34">
        <f t="shared" si="9"/>
        <v>0</v>
      </c>
      <c r="X100" s="4">
        <f>IF(T100="S", B100*(1+'Input Fee and Elasticity Inputs'!$B$9), IF(T100="A", B100*(1+'Input Fee and Elasticity Inputs'!$B$10), IF(T100="B", B100*(1+'Input Fee and Elasticity Inputs'!$B$11), B100*(1+'Input Fee and Elasticity Inputs'!$B$12))))</f>
        <v>37050</v>
      </c>
      <c r="Y100" s="33">
        <f t="shared" si="10"/>
        <v>5.43</v>
      </c>
      <c r="Z100" s="33">
        <f t="shared" si="11"/>
        <v>201181.5</v>
      </c>
      <c r="AA100" s="33">
        <f t="shared" si="12"/>
        <v>-10588.5</v>
      </c>
    </row>
    <row r="101">
      <c r="A101" s="3" t="s">
        <v>108</v>
      </c>
      <c r="B101" s="4">
        <v>38880.0</v>
      </c>
      <c r="C101" s="5">
        <v>10.0</v>
      </c>
      <c r="D101" s="5">
        <v>22.0</v>
      </c>
      <c r="E101" s="6">
        <v>0.13</v>
      </c>
      <c r="F101" s="7">
        <v>16.2</v>
      </c>
      <c r="G101" s="6">
        <v>0.27</v>
      </c>
      <c r="H101" s="8">
        <v>0.0384</v>
      </c>
      <c r="I101" s="8">
        <v>0.016859225766</v>
      </c>
      <c r="J101" s="9">
        <v>32.0</v>
      </c>
      <c r="K101" s="29" t="str">
        <f t="shared" si="1"/>
        <v>SMB</v>
      </c>
      <c r="L101" s="30">
        <f t="shared" si="2"/>
        <v>4.374</v>
      </c>
      <c r="M101" s="31">
        <f>PERCENTRANK(B$3:B$202,B101)*'Input Resturant Brands Scoring '!$B$3</f>
        <v>17.78</v>
      </c>
      <c r="N101" s="32">
        <f>(1-PERCENTRANK(J$3:J$202,J101))*'Input Resturant Brands Scoring '!$B$5</f>
        <v>1.26</v>
      </c>
      <c r="O101" s="31">
        <f>(1-PERCENTRANK(I$3:I$202,I101))*'Input Resturant Brands Scoring '!$B$6</f>
        <v>7.056</v>
      </c>
      <c r="P101" s="31">
        <f t="shared" si="3"/>
        <v>8.316</v>
      </c>
      <c r="Q101" s="31">
        <f>PERCENTRANK(L$3:L$202,L101)*'Input Resturant Brands Scoring '!$B$7</f>
        <v>7.035</v>
      </c>
      <c r="R101" s="31">
        <f t="shared" si="4"/>
        <v>33.131</v>
      </c>
      <c r="S101" s="12">
        <f t="shared" si="5"/>
        <v>174</v>
      </c>
      <c r="T101" s="12" t="str">
        <f t="shared" si="13"/>
        <v>C</v>
      </c>
      <c r="U101" s="33">
        <f t="shared" si="7"/>
        <v>170061.12</v>
      </c>
      <c r="V101" s="13">
        <f t="shared" si="8"/>
        <v>0.3</v>
      </c>
      <c r="W101" s="34">
        <f t="shared" si="9"/>
        <v>0.03</v>
      </c>
      <c r="X101" s="4">
        <f>IF(T101="S", B101*(1+'Input Fee and Elasticity Inputs'!$B$9), IF(T101="A", B101*(1+'Input Fee and Elasticity Inputs'!$B$10), IF(T101="B", B101*(1+'Input Fee and Elasticity Inputs'!$B$11), B101*(1+'Input Fee and Elasticity Inputs'!$B$12))))</f>
        <v>33048</v>
      </c>
      <c r="Y101" s="33">
        <f t="shared" si="10"/>
        <v>4.86</v>
      </c>
      <c r="Z101" s="33">
        <f t="shared" si="11"/>
        <v>160613.28</v>
      </c>
      <c r="AA101" s="33">
        <f t="shared" si="12"/>
        <v>-9447.84</v>
      </c>
    </row>
    <row r="102">
      <c r="A102" s="3" t="s">
        <v>109</v>
      </c>
      <c r="B102" s="4">
        <v>38544.0</v>
      </c>
      <c r="C102" s="5">
        <v>14.0</v>
      </c>
      <c r="D102" s="5">
        <v>15.0</v>
      </c>
      <c r="E102" s="6">
        <v>0.24</v>
      </c>
      <c r="F102" s="7">
        <v>18.4</v>
      </c>
      <c r="G102" s="6">
        <v>0.3</v>
      </c>
      <c r="H102" s="8">
        <v>0.0472</v>
      </c>
      <c r="I102" s="8">
        <v>0.016269125874</v>
      </c>
      <c r="J102" s="9">
        <v>17.0</v>
      </c>
      <c r="K102" s="29" t="str">
        <f t="shared" si="1"/>
        <v>SMB</v>
      </c>
      <c r="L102" s="30">
        <f t="shared" si="2"/>
        <v>5.52</v>
      </c>
      <c r="M102" s="31">
        <f>PERCENTRANK(B$3:B$202,B102)*'Input Resturant Brands Scoring '!$B$3</f>
        <v>17.605</v>
      </c>
      <c r="N102" s="32">
        <f>(1-PERCENTRANK(J$3:J$202,J102))*'Input Resturant Brands Scoring '!$B$5</f>
        <v>4.608</v>
      </c>
      <c r="O102" s="31">
        <f>(1-PERCENTRANK(I$3:I$202,I102))*'Input Resturant Brands Scoring '!$B$6</f>
        <v>7.836</v>
      </c>
      <c r="P102" s="31">
        <f t="shared" si="3"/>
        <v>12.444</v>
      </c>
      <c r="Q102" s="31">
        <f>PERCENTRANK(L$3:L$202,L102)*'Input Resturant Brands Scoring '!$B$7</f>
        <v>19.005</v>
      </c>
      <c r="R102" s="31">
        <f t="shared" si="4"/>
        <v>49.054</v>
      </c>
      <c r="S102" s="12">
        <f t="shared" si="5"/>
        <v>110</v>
      </c>
      <c r="T102" s="12" t="str">
        <f t="shared" si="13"/>
        <v>B</v>
      </c>
      <c r="U102" s="33">
        <f t="shared" si="7"/>
        <v>212762.88</v>
      </c>
      <c r="V102" s="13">
        <f t="shared" si="8"/>
        <v>0.3</v>
      </c>
      <c r="W102" s="34">
        <f t="shared" si="9"/>
        <v>0</v>
      </c>
      <c r="X102" s="4">
        <f>IF(T102="S", B102*(1+'Input Fee and Elasticity Inputs'!$B$9), IF(T102="A", B102*(1+'Input Fee and Elasticity Inputs'!$B$10), IF(T102="B", B102*(1+'Input Fee and Elasticity Inputs'!$B$11), B102*(1+'Input Fee and Elasticity Inputs'!$B$12))))</f>
        <v>36616.8</v>
      </c>
      <c r="Y102" s="33">
        <f t="shared" si="10"/>
        <v>5.52</v>
      </c>
      <c r="Z102" s="33">
        <f t="shared" si="11"/>
        <v>202124.736</v>
      </c>
      <c r="AA102" s="33">
        <f t="shared" si="12"/>
        <v>-10638.144</v>
      </c>
    </row>
    <row r="103">
      <c r="A103" s="3" t="s">
        <v>110</v>
      </c>
      <c r="B103" s="4">
        <v>37920.0</v>
      </c>
      <c r="C103" s="5">
        <v>13.0</v>
      </c>
      <c r="D103" s="5">
        <v>57.0</v>
      </c>
      <c r="E103" s="6">
        <v>0.87</v>
      </c>
      <c r="F103" s="7">
        <v>14.4</v>
      </c>
      <c r="G103" s="6">
        <v>0.3</v>
      </c>
      <c r="H103" s="8">
        <v>0.0644</v>
      </c>
      <c r="I103" s="8">
        <v>0.028096065594</v>
      </c>
      <c r="J103" s="9">
        <v>11.0</v>
      </c>
      <c r="K103" s="29" t="str">
        <f t="shared" si="1"/>
        <v>SMB</v>
      </c>
      <c r="L103" s="30">
        <f t="shared" si="2"/>
        <v>4.32</v>
      </c>
      <c r="M103" s="31">
        <f>PERCENTRANK(B$3:B$202,B103)*'Input Resturant Brands Scoring '!$B$3</f>
        <v>17.395</v>
      </c>
      <c r="N103" s="32">
        <f>(1-PERCENTRANK(J$3:J$202,J103))*'Input Resturant Brands Scoring '!$B$5</f>
        <v>8.136</v>
      </c>
      <c r="O103" s="31">
        <f>(1-PERCENTRANK(I$3:I$202,I103))*'Input Resturant Brands Scoring '!$B$6</f>
        <v>1.512</v>
      </c>
      <c r="P103" s="31">
        <f t="shared" si="3"/>
        <v>9.648</v>
      </c>
      <c r="Q103" s="31">
        <f>PERCENTRANK(L$3:L$202,L103)*'Input Resturant Brands Scoring '!$B$7</f>
        <v>5.985</v>
      </c>
      <c r="R103" s="31">
        <f t="shared" si="4"/>
        <v>33.028</v>
      </c>
      <c r="S103" s="12">
        <f t="shared" si="5"/>
        <v>175</v>
      </c>
      <c r="T103" s="12" t="str">
        <f t="shared" si="13"/>
        <v>C</v>
      </c>
      <c r="U103" s="33">
        <f t="shared" si="7"/>
        <v>163814.4</v>
      </c>
      <c r="V103" s="13">
        <f t="shared" si="8"/>
        <v>0.3</v>
      </c>
      <c r="W103" s="34">
        <f t="shared" si="9"/>
        <v>0</v>
      </c>
      <c r="X103" s="4">
        <f>IF(T103="S", B103*(1+'Input Fee and Elasticity Inputs'!$B$9), IF(T103="A", B103*(1+'Input Fee and Elasticity Inputs'!$B$10), IF(T103="B", B103*(1+'Input Fee and Elasticity Inputs'!$B$11), B103*(1+'Input Fee and Elasticity Inputs'!$B$12))))</f>
        <v>32232</v>
      </c>
      <c r="Y103" s="33">
        <f t="shared" si="10"/>
        <v>4.32</v>
      </c>
      <c r="Z103" s="33">
        <f t="shared" si="11"/>
        <v>139242.24</v>
      </c>
      <c r="AA103" s="33">
        <f t="shared" si="12"/>
        <v>-24572.16</v>
      </c>
    </row>
    <row r="104">
      <c r="A104" s="3" t="s">
        <v>111</v>
      </c>
      <c r="B104" s="4">
        <v>37500.0</v>
      </c>
      <c r="C104" s="5">
        <v>17.0</v>
      </c>
      <c r="D104" s="5">
        <v>45.0</v>
      </c>
      <c r="E104" s="6">
        <v>0.05</v>
      </c>
      <c r="F104" s="7">
        <v>19.1</v>
      </c>
      <c r="G104" s="6">
        <v>0.3</v>
      </c>
      <c r="H104" s="8">
        <v>0.0372</v>
      </c>
      <c r="I104" s="8">
        <v>0.017298657587999998</v>
      </c>
      <c r="J104" s="9">
        <v>16.0</v>
      </c>
      <c r="K104" s="29" t="str">
        <f t="shared" si="1"/>
        <v>SMB</v>
      </c>
      <c r="L104" s="30">
        <f t="shared" si="2"/>
        <v>5.73</v>
      </c>
      <c r="M104" s="31">
        <f>PERCENTRANK(B$3:B$202,B104)*'Input Resturant Brands Scoring '!$B$3</f>
        <v>17.22</v>
      </c>
      <c r="N104" s="32">
        <f>(1-PERCENTRANK(J$3:J$202,J104))*'Input Resturant Brands Scoring '!$B$5</f>
        <v>5.148</v>
      </c>
      <c r="O104" s="31">
        <f>(1-PERCENTRANK(I$3:I$202,I104))*'Input Resturant Brands Scoring '!$B$6</f>
        <v>6.876</v>
      </c>
      <c r="P104" s="31">
        <f t="shared" si="3"/>
        <v>12.024</v>
      </c>
      <c r="Q104" s="31">
        <f>PERCENTRANK(L$3:L$202,L104)*'Input Resturant Brands Scoring '!$B$7</f>
        <v>20.93</v>
      </c>
      <c r="R104" s="31">
        <f t="shared" si="4"/>
        <v>50.174</v>
      </c>
      <c r="S104" s="12">
        <f t="shared" si="5"/>
        <v>104</v>
      </c>
      <c r="T104" s="12" t="str">
        <f t="shared" si="13"/>
        <v>B</v>
      </c>
      <c r="U104" s="33">
        <f t="shared" si="7"/>
        <v>214875</v>
      </c>
      <c r="V104" s="13">
        <f t="shared" si="8"/>
        <v>0.3</v>
      </c>
      <c r="W104" s="34">
        <f t="shared" si="9"/>
        <v>0</v>
      </c>
      <c r="X104" s="4">
        <f>IF(T104="S", B104*(1+'Input Fee and Elasticity Inputs'!$B$9), IF(T104="A", B104*(1+'Input Fee and Elasticity Inputs'!$B$10), IF(T104="B", B104*(1+'Input Fee and Elasticity Inputs'!$B$11), B104*(1+'Input Fee and Elasticity Inputs'!$B$12))))</f>
        <v>35625</v>
      </c>
      <c r="Y104" s="33">
        <f t="shared" si="10"/>
        <v>5.73</v>
      </c>
      <c r="Z104" s="33">
        <f t="shared" si="11"/>
        <v>204131.25</v>
      </c>
      <c r="AA104" s="33">
        <f t="shared" si="12"/>
        <v>-10743.75</v>
      </c>
    </row>
    <row r="105">
      <c r="A105" s="3" t="s">
        <v>112</v>
      </c>
      <c r="B105" s="4">
        <v>37440.0</v>
      </c>
      <c r="C105" s="5">
        <v>8.0</v>
      </c>
      <c r="D105" s="5">
        <v>17.0</v>
      </c>
      <c r="E105" s="6">
        <v>0.48</v>
      </c>
      <c r="F105" s="7">
        <v>19.7</v>
      </c>
      <c r="G105" s="6">
        <v>0.3</v>
      </c>
      <c r="H105" s="8">
        <v>0.0464</v>
      </c>
      <c r="I105" s="8">
        <v>0.017808955919999998</v>
      </c>
      <c r="J105" s="9">
        <v>14.0</v>
      </c>
      <c r="K105" s="29" t="str">
        <f t="shared" si="1"/>
        <v>SMB</v>
      </c>
      <c r="L105" s="30">
        <f t="shared" si="2"/>
        <v>5.91</v>
      </c>
      <c r="M105" s="31">
        <f>PERCENTRANK(B$3:B$202,B105)*'Input Resturant Brands Scoring '!$B$3</f>
        <v>17.045</v>
      </c>
      <c r="N105" s="32">
        <f>(1-PERCENTRANK(J$3:J$202,J105))*'Input Resturant Brands Scoring '!$B$5</f>
        <v>6.426</v>
      </c>
      <c r="O105" s="31">
        <f>(1-PERCENTRANK(I$3:I$202,I105))*'Input Resturant Brands Scoring '!$B$6</f>
        <v>6.456</v>
      </c>
      <c r="P105" s="31">
        <f t="shared" si="3"/>
        <v>12.882</v>
      </c>
      <c r="Q105" s="31">
        <f>PERCENTRANK(L$3:L$202,L105)*'Input Resturant Brands Scoring '!$B$7</f>
        <v>22.155</v>
      </c>
      <c r="R105" s="31">
        <f t="shared" si="4"/>
        <v>52.082</v>
      </c>
      <c r="S105" s="12">
        <f t="shared" si="5"/>
        <v>94</v>
      </c>
      <c r="T105" s="12" t="str">
        <f t="shared" si="13"/>
        <v>B</v>
      </c>
      <c r="U105" s="33">
        <f t="shared" si="7"/>
        <v>221270.4</v>
      </c>
      <c r="V105" s="13">
        <f t="shared" si="8"/>
        <v>0.3</v>
      </c>
      <c r="W105" s="34">
        <f t="shared" si="9"/>
        <v>0</v>
      </c>
      <c r="X105" s="4">
        <f>IF(T105="S", B105*(1+'Input Fee and Elasticity Inputs'!$B$9), IF(T105="A", B105*(1+'Input Fee and Elasticity Inputs'!$B$10), IF(T105="B", B105*(1+'Input Fee and Elasticity Inputs'!$B$11), B105*(1+'Input Fee and Elasticity Inputs'!$B$12))))</f>
        <v>35568</v>
      </c>
      <c r="Y105" s="33">
        <f t="shared" si="10"/>
        <v>5.91</v>
      </c>
      <c r="Z105" s="33">
        <f t="shared" si="11"/>
        <v>210206.88</v>
      </c>
      <c r="AA105" s="33">
        <f t="shared" si="12"/>
        <v>-11063.52</v>
      </c>
    </row>
    <row r="106">
      <c r="A106" s="3" t="s">
        <v>113</v>
      </c>
      <c r="B106" s="4">
        <v>37248.0</v>
      </c>
      <c r="C106" s="5">
        <v>10.0</v>
      </c>
      <c r="D106" s="5">
        <v>33.0</v>
      </c>
      <c r="E106" s="6">
        <v>0.41</v>
      </c>
      <c r="F106" s="7">
        <v>18.0</v>
      </c>
      <c r="G106" s="6">
        <v>0.3</v>
      </c>
      <c r="H106" s="8">
        <v>0.0724</v>
      </c>
      <c r="I106" s="8">
        <v>0.017697857064</v>
      </c>
      <c r="J106" s="9">
        <v>4.0</v>
      </c>
      <c r="K106" s="29" t="str">
        <f t="shared" si="1"/>
        <v>SMB</v>
      </c>
      <c r="L106" s="30">
        <f t="shared" si="2"/>
        <v>5.4</v>
      </c>
      <c r="M106" s="31">
        <f>PERCENTRANK(B$3:B$202,B106)*'Input Resturant Brands Scoring '!$B$3</f>
        <v>16.87</v>
      </c>
      <c r="N106" s="32">
        <f>(1-PERCENTRANK(J$3:J$202,J106))*'Input Resturant Brands Scoring '!$B$5</f>
        <v>17.1</v>
      </c>
      <c r="O106" s="31">
        <f>(1-PERCENTRANK(I$3:I$202,I106))*'Input Resturant Brands Scoring '!$B$6</f>
        <v>6.516</v>
      </c>
      <c r="P106" s="31">
        <f t="shared" si="3"/>
        <v>23.616</v>
      </c>
      <c r="Q106" s="31">
        <f>PERCENTRANK(L$3:L$202,L106)*'Input Resturant Brands Scoring '!$B$7</f>
        <v>17.045</v>
      </c>
      <c r="R106" s="31">
        <f t="shared" si="4"/>
        <v>57.531</v>
      </c>
      <c r="S106" s="12">
        <f t="shared" si="5"/>
        <v>64</v>
      </c>
      <c r="T106" s="12" t="str">
        <f t="shared" si="13"/>
        <v>B</v>
      </c>
      <c r="U106" s="33">
        <f t="shared" si="7"/>
        <v>201139.2</v>
      </c>
      <c r="V106" s="13">
        <f t="shared" si="8"/>
        <v>0.3</v>
      </c>
      <c r="W106" s="34">
        <f t="shared" si="9"/>
        <v>0</v>
      </c>
      <c r="X106" s="4">
        <f>IF(T106="S", B106*(1+'Input Fee and Elasticity Inputs'!$B$9), IF(T106="A", B106*(1+'Input Fee and Elasticity Inputs'!$B$10), IF(T106="B", B106*(1+'Input Fee and Elasticity Inputs'!$B$11), B106*(1+'Input Fee and Elasticity Inputs'!$B$12))))</f>
        <v>35385.6</v>
      </c>
      <c r="Y106" s="33">
        <f t="shared" si="10"/>
        <v>5.4</v>
      </c>
      <c r="Z106" s="33">
        <f t="shared" si="11"/>
        <v>191082.24</v>
      </c>
      <c r="AA106" s="33">
        <f t="shared" si="12"/>
        <v>-10056.96</v>
      </c>
    </row>
    <row r="107">
      <c r="A107" s="3" t="s">
        <v>114</v>
      </c>
      <c r="B107" s="4">
        <v>37128.0</v>
      </c>
      <c r="C107" s="5">
        <v>8.0</v>
      </c>
      <c r="D107" s="5">
        <v>35.0</v>
      </c>
      <c r="E107" s="6">
        <v>0.87</v>
      </c>
      <c r="F107" s="7">
        <v>16.4</v>
      </c>
      <c r="G107" s="6">
        <v>0.27</v>
      </c>
      <c r="H107" s="8">
        <v>0.0776</v>
      </c>
      <c r="I107" s="8">
        <v>0.024071805168</v>
      </c>
      <c r="J107" s="9">
        <v>10.0</v>
      </c>
      <c r="K107" s="29" t="str">
        <f t="shared" si="1"/>
        <v>SMB</v>
      </c>
      <c r="L107" s="30">
        <f t="shared" si="2"/>
        <v>4.428</v>
      </c>
      <c r="M107" s="31">
        <f>PERCENTRANK(B$3:B$202,B107)*'Input Resturant Brands Scoring '!$B$3</f>
        <v>16.695</v>
      </c>
      <c r="N107" s="32">
        <f>(1-PERCENTRANK(J$3:J$202,J107))*'Input Resturant Brands Scoring '!$B$5</f>
        <v>9.054</v>
      </c>
      <c r="O107" s="31">
        <f>(1-PERCENTRANK(I$3:I$202,I107))*'Input Resturant Brands Scoring '!$B$6</f>
        <v>3.012</v>
      </c>
      <c r="P107" s="31">
        <f t="shared" si="3"/>
        <v>12.066</v>
      </c>
      <c r="Q107" s="31">
        <f>PERCENTRANK(L$3:L$202,L107)*'Input Resturant Brands Scoring '!$B$7</f>
        <v>7.385</v>
      </c>
      <c r="R107" s="31">
        <f t="shared" si="4"/>
        <v>36.146</v>
      </c>
      <c r="S107" s="12">
        <f t="shared" si="5"/>
        <v>159</v>
      </c>
      <c r="T107" s="12" t="str">
        <f t="shared" si="13"/>
        <v>C</v>
      </c>
      <c r="U107" s="33">
        <f t="shared" si="7"/>
        <v>164402.784</v>
      </c>
      <c r="V107" s="13">
        <f t="shared" si="8"/>
        <v>0.3</v>
      </c>
      <c r="W107" s="34">
        <f t="shared" si="9"/>
        <v>0.03</v>
      </c>
      <c r="X107" s="4">
        <f>IF(T107="S", B107*(1+'Input Fee and Elasticity Inputs'!$B$9), IF(T107="A", B107*(1+'Input Fee and Elasticity Inputs'!$B$10), IF(T107="B", B107*(1+'Input Fee and Elasticity Inputs'!$B$11), B107*(1+'Input Fee and Elasticity Inputs'!$B$12))))</f>
        <v>31558.8</v>
      </c>
      <c r="Y107" s="33">
        <f t="shared" si="10"/>
        <v>4.92</v>
      </c>
      <c r="Z107" s="33">
        <f t="shared" si="11"/>
        <v>155269.296</v>
      </c>
      <c r="AA107" s="33">
        <f t="shared" si="12"/>
        <v>-9133.488</v>
      </c>
    </row>
    <row r="108">
      <c r="A108" s="3" t="s">
        <v>115</v>
      </c>
      <c r="B108" s="4">
        <v>36864.0</v>
      </c>
      <c r="C108" s="5">
        <v>10.0</v>
      </c>
      <c r="D108" s="5">
        <v>23.0</v>
      </c>
      <c r="E108" s="6">
        <v>0.54</v>
      </c>
      <c r="F108" s="7">
        <v>17.3</v>
      </c>
      <c r="G108" s="6">
        <v>0.25</v>
      </c>
      <c r="H108" s="8">
        <v>0.0564</v>
      </c>
      <c r="I108" s="8">
        <v>0.023211791472</v>
      </c>
      <c r="J108" s="9">
        <v>17.0</v>
      </c>
      <c r="K108" s="29" t="str">
        <f t="shared" si="1"/>
        <v>SMB</v>
      </c>
      <c r="L108" s="30">
        <f t="shared" si="2"/>
        <v>4.325</v>
      </c>
      <c r="M108" s="31">
        <f>PERCENTRANK(B$3:B$202,B108)*'Input Resturant Brands Scoring '!$B$3</f>
        <v>16.52</v>
      </c>
      <c r="N108" s="32">
        <f>(1-PERCENTRANK(J$3:J$202,J108))*'Input Resturant Brands Scoring '!$B$5</f>
        <v>4.608</v>
      </c>
      <c r="O108" s="31">
        <f>(1-PERCENTRANK(I$3:I$202,I108))*'Input Resturant Brands Scoring '!$B$6</f>
        <v>3.624</v>
      </c>
      <c r="P108" s="31">
        <f t="shared" si="3"/>
        <v>8.232</v>
      </c>
      <c r="Q108" s="31">
        <f>PERCENTRANK(L$3:L$202,L108)*'Input Resturant Brands Scoring '!$B$7</f>
        <v>6.335</v>
      </c>
      <c r="R108" s="31">
        <f t="shared" si="4"/>
        <v>31.087</v>
      </c>
      <c r="S108" s="12">
        <f t="shared" si="5"/>
        <v>182</v>
      </c>
      <c r="T108" s="12" t="str">
        <f t="shared" si="13"/>
        <v>C</v>
      </c>
      <c r="U108" s="33">
        <f t="shared" si="7"/>
        <v>159436.8</v>
      </c>
      <c r="V108" s="13">
        <f t="shared" si="8"/>
        <v>0.28</v>
      </c>
      <c r="W108" s="34">
        <f t="shared" si="9"/>
        <v>0.03</v>
      </c>
      <c r="X108" s="4">
        <f>IF(T108="S", B108*(1+'Input Fee and Elasticity Inputs'!$B$9), IF(T108="A", B108*(1+'Input Fee and Elasticity Inputs'!$B$10), IF(T108="B", B108*(1+'Input Fee and Elasticity Inputs'!$B$11), B108*(1+'Input Fee and Elasticity Inputs'!$B$12))))</f>
        <v>31334.4</v>
      </c>
      <c r="Y108" s="33">
        <f t="shared" si="10"/>
        <v>4.844</v>
      </c>
      <c r="Z108" s="33">
        <f t="shared" si="11"/>
        <v>151783.8336</v>
      </c>
      <c r="AA108" s="33">
        <f t="shared" si="12"/>
        <v>-7652.9664</v>
      </c>
    </row>
    <row r="109">
      <c r="A109" s="3" t="s">
        <v>116</v>
      </c>
      <c r="B109" s="4">
        <v>35568.0</v>
      </c>
      <c r="C109" s="5">
        <v>8.0</v>
      </c>
      <c r="D109" s="5">
        <v>40.0</v>
      </c>
      <c r="E109" s="6">
        <v>0.62</v>
      </c>
      <c r="F109" s="7">
        <v>17.4</v>
      </c>
      <c r="G109" s="6">
        <v>0.3</v>
      </c>
      <c r="H109" s="8">
        <v>0.0544</v>
      </c>
      <c r="I109" s="8">
        <v>0.022421553474</v>
      </c>
      <c r="J109" s="9">
        <v>9.0</v>
      </c>
      <c r="K109" s="29" t="str">
        <f t="shared" si="1"/>
        <v>SMB</v>
      </c>
      <c r="L109" s="30">
        <f t="shared" si="2"/>
        <v>5.22</v>
      </c>
      <c r="M109" s="31">
        <f>PERCENTRANK(B$3:B$202,B109)*'Input Resturant Brands Scoring '!$B$3</f>
        <v>16.345</v>
      </c>
      <c r="N109" s="32">
        <f>(1-PERCENTRANK(J$3:J$202,J109))*'Input Resturant Brands Scoring '!$B$5</f>
        <v>10.044</v>
      </c>
      <c r="O109" s="31">
        <f>(1-PERCENTRANK(I$3:I$202,I109))*'Input Resturant Brands Scoring '!$B$6</f>
        <v>4.224</v>
      </c>
      <c r="P109" s="31">
        <f t="shared" si="3"/>
        <v>14.268</v>
      </c>
      <c r="Q109" s="31">
        <f>PERCENTRANK(L$3:L$202,L109)*'Input Resturant Brands Scoring '!$B$7</f>
        <v>15.47</v>
      </c>
      <c r="R109" s="31">
        <f t="shared" si="4"/>
        <v>46.083</v>
      </c>
      <c r="S109" s="12">
        <f t="shared" si="5"/>
        <v>127</v>
      </c>
      <c r="T109" s="12" t="str">
        <f t="shared" si="13"/>
        <v>B</v>
      </c>
      <c r="U109" s="33">
        <f t="shared" si="7"/>
        <v>185664.96</v>
      </c>
      <c r="V109" s="13">
        <f t="shared" si="8"/>
        <v>0.3</v>
      </c>
      <c r="W109" s="34">
        <f t="shared" si="9"/>
        <v>0</v>
      </c>
      <c r="X109" s="4">
        <f>IF(T109="S", B109*(1+'Input Fee and Elasticity Inputs'!$B$9), IF(T109="A", B109*(1+'Input Fee and Elasticity Inputs'!$B$10), IF(T109="B", B109*(1+'Input Fee and Elasticity Inputs'!$B$11), B109*(1+'Input Fee and Elasticity Inputs'!$B$12))))</f>
        <v>33789.6</v>
      </c>
      <c r="Y109" s="33">
        <f t="shared" si="10"/>
        <v>5.22</v>
      </c>
      <c r="Z109" s="33">
        <f t="shared" si="11"/>
        <v>176381.712</v>
      </c>
      <c r="AA109" s="33">
        <f t="shared" si="12"/>
        <v>-9283.248</v>
      </c>
    </row>
    <row r="110">
      <c r="A110" s="3" t="s">
        <v>117</v>
      </c>
      <c r="B110" s="4">
        <v>34788.0</v>
      </c>
      <c r="C110" s="5">
        <v>8.0</v>
      </c>
      <c r="D110" s="5">
        <v>17.0</v>
      </c>
      <c r="E110" s="6">
        <v>0.72</v>
      </c>
      <c r="F110" s="7">
        <v>13.7</v>
      </c>
      <c r="G110" s="6">
        <v>0.26</v>
      </c>
      <c r="H110" s="8">
        <v>0.0128</v>
      </c>
      <c r="I110" s="8">
        <v>0.020486437062</v>
      </c>
      <c r="J110" s="9">
        <v>9.0</v>
      </c>
      <c r="K110" s="29" t="str">
        <f t="shared" si="1"/>
        <v>SMB</v>
      </c>
      <c r="L110" s="30">
        <f t="shared" si="2"/>
        <v>3.562</v>
      </c>
      <c r="M110" s="31">
        <f>PERCENTRANK(B$3:B$202,B110)*'Input Resturant Brands Scoring '!$B$3</f>
        <v>16.17</v>
      </c>
      <c r="N110" s="32">
        <f>(1-PERCENTRANK(J$3:J$202,J110))*'Input Resturant Brands Scoring '!$B$5</f>
        <v>10.044</v>
      </c>
      <c r="O110" s="31">
        <f>(1-PERCENTRANK(I$3:I$202,I110))*'Input Resturant Brands Scoring '!$B$6</f>
        <v>5.064</v>
      </c>
      <c r="P110" s="31">
        <f t="shared" si="3"/>
        <v>15.108</v>
      </c>
      <c r="Q110" s="31">
        <f>PERCENTRANK(L$3:L$202,L110)*'Input Resturant Brands Scoring '!$B$7</f>
        <v>1.4</v>
      </c>
      <c r="R110" s="31">
        <f t="shared" si="4"/>
        <v>32.678</v>
      </c>
      <c r="S110" s="12">
        <f t="shared" si="5"/>
        <v>177</v>
      </c>
      <c r="T110" s="12" t="str">
        <f t="shared" si="13"/>
        <v>C</v>
      </c>
      <c r="U110" s="33">
        <f t="shared" si="7"/>
        <v>123914.856</v>
      </c>
      <c r="V110" s="13">
        <f t="shared" si="8"/>
        <v>0.29</v>
      </c>
      <c r="W110" s="34">
        <f t="shared" si="9"/>
        <v>0.03</v>
      </c>
      <c r="X110" s="4">
        <f>IF(T110="S", B110*(1+'Input Fee and Elasticity Inputs'!$B$9), IF(T110="A", B110*(1+'Input Fee and Elasticity Inputs'!$B$10), IF(T110="B", B110*(1+'Input Fee and Elasticity Inputs'!$B$11), B110*(1+'Input Fee and Elasticity Inputs'!$B$12))))</f>
        <v>29569.8</v>
      </c>
      <c r="Y110" s="33">
        <f t="shared" si="10"/>
        <v>3.973</v>
      </c>
      <c r="Z110" s="33">
        <f t="shared" si="11"/>
        <v>117480.8154</v>
      </c>
      <c r="AA110" s="33">
        <f t="shared" si="12"/>
        <v>-6434.0406</v>
      </c>
    </row>
    <row r="111">
      <c r="A111" s="3" t="s">
        <v>118</v>
      </c>
      <c r="B111" s="4">
        <v>34200.0</v>
      </c>
      <c r="C111" s="5">
        <v>9.0</v>
      </c>
      <c r="D111" s="5">
        <v>13.0</v>
      </c>
      <c r="E111" s="6">
        <v>0.7</v>
      </c>
      <c r="F111" s="7">
        <v>21.8</v>
      </c>
      <c r="G111" s="6">
        <v>0.25</v>
      </c>
      <c r="H111" s="8">
        <v>0.0348</v>
      </c>
      <c r="I111" s="8">
        <v>0.020061907121999997</v>
      </c>
      <c r="J111" s="9">
        <v>7.0</v>
      </c>
      <c r="K111" s="29" t="str">
        <f t="shared" si="1"/>
        <v>SMB</v>
      </c>
      <c r="L111" s="30">
        <f t="shared" si="2"/>
        <v>5.45</v>
      </c>
      <c r="M111" s="31">
        <f>PERCENTRANK(B$3:B$202,B111)*'Input Resturant Brands Scoring '!$B$3</f>
        <v>15.995</v>
      </c>
      <c r="N111" s="32">
        <f>(1-PERCENTRANK(J$3:J$202,J111))*'Input Resturant Brands Scoring '!$B$5</f>
        <v>12.204</v>
      </c>
      <c r="O111" s="31">
        <f>(1-PERCENTRANK(I$3:I$202,I111))*'Input Resturant Brands Scoring '!$B$6</f>
        <v>5.184</v>
      </c>
      <c r="P111" s="31">
        <f t="shared" si="3"/>
        <v>17.388</v>
      </c>
      <c r="Q111" s="31">
        <f>PERCENTRANK(L$3:L$202,L111)*'Input Resturant Brands Scoring '!$B$7</f>
        <v>18.13</v>
      </c>
      <c r="R111" s="31">
        <f t="shared" si="4"/>
        <v>51.513</v>
      </c>
      <c r="S111" s="12">
        <f t="shared" si="5"/>
        <v>98</v>
      </c>
      <c r="T111" s="12" t="str">
        <f t="shared" si="13"/>
        <v>B</v>
      </c>
      <c r="U111" s="33">
        <f t="shared" si="7"/>
        <v>186390</v>
      </c>
      <c r="V111" s="13">
        <f t="shared" si="8"/>
        <v>0.27</v>
      </c>
      <c r="W111" s="34">
        <f t="shared" si="9"/>
        <v>0.02</v>
      </c>
      <c r="X111" s="4">
        <f>IF(T111="S", B111*(1+'Input Fee and Elasticity Inputs'!$B$9), IF(T111="A", B111*(1+'Input Fee and Elasticity Inputs'!$B$10), IF(T111="B", B111*(1+'Input Fee and Elasticity Inputs'!$B$11), B111*(1+'Input Fee and Elasticity Inputs'!$B$12))))</f>
        <v>32490</v>
      </c>
      <c r="Y111" s="33">
        <f t="shared" si="10"/>
        <v>5.886</v>
      </c>
      <c r="Z111" s="33">
        <f t="shared" si="11"/>
        <v>191236.14</v>
      </c>
      <c r="AA111" s="33">
        <f t="shared" si="12"/>
        <v>4846.14</v>
      </c>
    </row>
    <row r="112">
      <c r="A112" s="3" t="s">
        <v>119</v>
      </c>
      <c r="B112" s="4">
        <v>34068.0</v>
      </c>
      <c r="C112" s="5">
        <v>11.0</v>
      </c>
      <c r="D112" s="5">
        <v>110.0</v>
      </c>
      <c r="E112" s="6">
        <v>0.13</v>
      </c>
      <c r="F112" s="7">
        <v>28.6</v>
      </c>
      <c r="G112" s="6">
        <v>0.29</v>
      </c>
      <c r="H112" s="8">
        <v>0.0636</v>
      </c>
      <c r="I112" s="8">
        <v>0.022330359786</v>
      </c>
      <c r="J112" s="9">
        <v>22.0</v>
      </c>
      <c r="K112" s="29" t="str">
        <f t="shared" si="1"/>
        <v>SMB</v>
      </c>
      <c r="L112" s="30">
        <f t="shared" si="2"/>
        <v>8.294</v>
      </c>
      <c r="M112" s="31">
        <f>PERCENTRANK(B$3:B$202,B112)*'Input Resturant Brands Scoring '!$B$3</f>
        <v>15.82</v>
      </c>
      <c r="N112" s="32">
        <f>(1-PERCENTRANK(J$3:J$202,J112))*'Input Resturant Brands Scoring '!$B$5</f>
        <v>3.078</v>
      </c>
      <c r="O112" s="31">
        <f>(1-PERCENTRANK(I$3:I$202,I112))*'Input Resturant Brands Scoring '!$B$6</f>
        <v>4.284</v>
      </c>
      <c r="P112" s="31">
        <f t="shared" si="3"/>
        <v>7.362</v>
      </c>
      <c r="Q112" s="31">
        <f>PERCENTRANK(L$3:L$202,L112)*'Input Resturant Brands Scoring '!$B$7</f>
        <v>33.25</v>
      </c>
      <c r="R112" s="31">
        <f t="shared" si="4"/>
        <v>56.432</v>
      </c>
      <c r="S112" s="12">
        <f t="shared" si="5"/>
        <v>68</v>
      </c>
      <c r="T112" s="12" t="str">
        <f t="shared" si="13"/>
        <v>B</v>
      </c>
      <c r="U112" s="33">
        <f t="shared" si="7"/>
        <v>282559.992</v>
      </c>
      <c r="V112" s="13">
        <f t="shared" si="8"/>
        <v>0.3</v>
      </c>
      <c r="W112" s="34">
        <f t="shared" si="9"/>
        <v>0.01</v>
      </c>
      <c r="X112" s="4">
        <f>IF(T112="S", B112*(1+'Input Fee and Elasticity Inputs'!$B$9), IF(T112="A", B112*(1+'Input Fee and Elasticity Inputs'!$B$10), IF(T112="B", B112*(1+'Input Fee and Elasticity Inputs'!$B$11), B112*(1+'Input Fee and Elasticity Inputs'!$B$12))))</f>
        <v>32364.6</v>
      </c>
      <c r="Y112" s="33">
        <f t="shared" si="10"/>
        <v>8.58</v>
      </c>
      <c r="Z112" s="33">
        <f t="shared" si="11"/>
        <v>277688.268</v>
      </c>
      <c r="AA112" s="33">
        <f t="shared" si="12"/>
        <v>-4871.724</v>
      </c>
    </row>
    <row r="113">
      <c r="A113" s="3" t="s">
        <v>120</v>
      </c>
      <c r="B113" s="4">
        <v>33984.0</v>
      </c>
      <c r="C113" s="5">
        <v>8.0</v>
      </c>
      <c r="D113" s="5">
        <v>11.0</v>
      </c>
      <c r="E113" s="6">
        <v>0.5</v>
      </c>
      <c r="F113" s="7">
        <v>14.4</v>
      </c>
      <c r="G113" s="6">
        <v>0.29</v>
      </c>
      <c r="H113" s="8">
        <v>0.0316</v>
      </c>
      <c r="I113" s="8">
        <v>0.026209529964</v>
      </c>
      <c r="J113" s="9">
        <v>6.0</v>
      </c>
      <c r="K113" s="29" t="str">
        <f t="shared" si="1"/>
        <v>SMB</v>
      </c>
      <c r="L113" s="30">
        <f t="shared" si="2"/>
        <v>4.176</v>
      </c>
      <c r="M113" s="31">
        <f>PERCENTRANK(B$3:B$202,B113)*'Input Resturant Brands Scoring '!$B$3</f>
        <v>15.645</v>
      </c>
      <c r="N113" s="32">
        <f>(1-PERCENTRANK(J$3:J$202,J113))*'Input Resturant Brands Scoring '!$B$5</f>
        <v>14.022</v>
      </c>
      <c r="O113" s="31">
        <f>(1-PERCENTRANK(I$3:I$202,I113))*'Input Resturant Brands Scoring '!$B$6</f>
        <v>2.112</v>
      </c>
      <c r="P113" s="31">
        <f t="shared" si="3"/>
        <v>16.134</v>
      </c>
      <c r="Q113" s="31">
        <f>PERCENTRANK(L$3:L$202,L113)*'Input Resturant Brands Scoring '!$B$7</f>
        <v>5.11</v>
      </c>
      <c r="R113" s="31">
        <f t="shared" si="4"/>
        <v>36.889</v>
      </c>
      <c r="S113" s="12">
        <f t="shared" si="5"/>
        <v>156</v>
      </c>
      <c r="T113" s="12" t="str">
        <f t="shared" si="13"/>
        <v>C</v>
      </c>
      <c r="U113" s="33">
        <f t="shared" si="7"/>
        <v>141917.184</v>
      </c>
      <c r="V113" s="13">
        <f t="shared" si="8"/>
        <v>0.3</v>
      </c>
      <c r="W113" s="34">
        <f t="shared" si="9"/>
        <v>0.01</v>
      </c>
      <c r="X113" s="4">
        <f>IF(T113="S", B113*(1+'Input Fee and Elasticity Inputs'!$B$9), IF(T113="A", B113*(1+'Input Fee and Elasticity Inputs'!$B$10), IF(T113="B", B113*(1+'Input Fee and Elasticity Inputs'!$B$11), B113*(1+'Input Fee and Elasticity Inputs'!$B$12))))</f>
        <v>28886.4</v>
      </c>
      <c r="Y113" s="33">
        <f t="shared" si="10"/>
        <v>4.32</v>
      </c>
      <c r="Z113" s="33">
        <f t="shared" si="11"/>
        <v>124789.248</v>
      </c>
      <c r="AA113" s="33">
        <f t="shared" si="12"/>
        <v>-17127.936</v>
      </c>
    </row>
    <row r="114">
      <c r="A114" s="3" t="s">
        <v>121</v>
      </c>
      <c r="B114" s="4">
        <v>33960.0</v>
      </c>
      <c r="C114" s="5">
        <v>7.0</v>
      </c>
      <c r="D114" s="5">
        <v>54.0</v>
      </c>
      <c r="E114" s="6">
        <v>0.23</v>
      </c>
      <c r="F114" s="7">
        <v>20.4</v>
      </c>
      <c r="G114" s="6">
        <v>0.3</v>
      </c>
      <c r="H114" s="8">
        <v>0.066</v>
      </c>
      <c r="I114" s="8">
        <v>0.023057722716</v>
      </c>
      <c r="J114" s="9">
        <v>13.0</v>
      </c>
      <c r="K114" s="29" t="str">
        <f t="shared" si="1"/>
        <v>SMB</v>
      </c>
      <c r="L114" s="30">
        <f t="shared" si="2"/>
        <v>6.12</v>
      </c>
      <c r="M114" s="31">
        <f>PERCENTRANK(B$3:B$202,B114)*'Input Resturant Brands Scoring '!$B$3</f>
        <v>15.47</v>
      </c>
      <c r="N114" s="32">
        <f>(1-PERCENTRANK(J$3:J$202,J114))*'Input Resturant Brands Scoring '!$B$5</f>
        <v>7.056</v>
      </c>
      <c r="O114" s="31">
        <f>(1-PERCENTRANK(I$3:I$202,I114))*'Input Resturant Brands Scoring '!$B$6</f>
        <v>3.744</v>
      </c>
      <c r="P114" s="31">
        <f t="shared" si="3"/>
        <v>10.8</v>
      </c>
      <c r="Q114" s="31">
        <f>PERCENTRANK(L$3:L$202,L114)*'Input Resturant Brands Scoring '!$B$7</f>
        <v>23.905</v>
      </c>
      <c r="R114" s="31">
        <f t="shared" si="4"/>
        <v>50.175</v>
      </c>
      <c r="S114" s="12">
        <f t="shared" si="5"/>
        <v>103</v>
      </c>
      <c r="T114" s="12" t="str">
        <f t="shared" si="13"/>
        <v>B</v>
      </c>
      <c r="U114" s="33">
        <f t="shared" si="7"/>
        <v>207835.2</v>
      </c>
      <c r="V114" s="13">
        <f t="shared" si="8"/>
        <v>0.3</v>
      </c>
      <c r="W114" s="34">
        <f t="shared" si="9"/>
        <v>0</v>
      </c>
      <c r="X114" s="4">
        <f>IF(T114="S", B114*(1+'Input Fee and Elasticity Inputs'!$B$9), IF(T114="A", B114*(1+'Input Fee and Elasticity Inputs'!$B$10), IF(T114="B", B114*(1+'Input Fee and Elasticity Inputs'!$B$11), B114*(1+'Input Fee and Elasticity Inputs'!$B$12))))</f>
        <v>32262</v>
      </c>
      <c r="Y114" s="33">
        <f t="shared" si="10"/>
        <v>6.12</v>
      </c>
      <c r="Z114" s="33">
        <f t="shared" si="11"/>
        <v>197443.44</v>
      </c>
      <c r="AA114" s="33">
        <f t="shared" si="12"/>
        <v>-10391.76</v>
      </c>
    </row>
    <row r="115">
      <c r="A115" s="3" t="s">
        <v>122</v>
      </c>
      <c r="B115" s="4">
        <v>33408.0</v>
      </c>
      <c r="C115" s="5">
        <v>22.0</v>
      </c>
      <c r="D115" s="5">
        <v>42.0</v>
      </c>
      <c r="E115" s="6">
        <v>0.66</v>
      </c>
      <c r="F115" s="7">
        <v>22.5</v>
      </c>
      <c r="G115" s="6">
        <v>0.29</v>
      </c>
      <c r="H115" s="8">
        <v>0.0756</v>
      </c>
      <c r="I115" s="8">
        <v>0.025022708424</v>
      </c>
      <c r="J115" s="9">
        <v>19.0</v>
      </c>
      <c r="K115" s="29" t="str">
        <f t="shared" si="1"/>
        <v>Enterprise</v>
      </c>
      <c r="L115" s="30">
        <f t="shared" si="2"/>
        <v>6.525</v>
      </c>
      <c r="M115" s="31">
        <f>PERCENTRANK(B$3:B$202,B115)*'Input Resturant Brands Scoring '!$B$3</f>
        <v>15.295</v>
      </c>
      <c r="N115" s="32">
        <f>(1-PERCENTRANK(J$3:J$202,J115))*'Input Resturant Brands Scoring '!$B$5</f>
        <v>3.798</v>
      </c>
      <c r="O115" s="31">
        <f>(1-PERCENTRANK(I$3:I$202,I115))*'Input Resturant Brands Scoring '!$B$6</f>
        <v>2.472</v>
      </c>
      <c r="P115" s="31">
        <f t="shared" si="3"/>
        <v>6.27</v>
      </c>
      <c r="Q115" s="31">
        <f>PERCENTRANK(L$3:L$202,L115)*'Input Resturant Brands Scoring '!$B$7</f>
        <v>26.215</v>
      </c>
      <c r="R115" s="31">
        <f t="shared" si="4"/>
        <v>47.78</v>
      </c>
      <c r="S115" s="12">
        <f t="shared" si="5"/>
        <v>115</v>
      </c>
      <c r="T115" s="12" t="str">
        <f t="shared" si="13"/>
        <v>B</v>
      </c>
      <c r="U115" s="33">
        <f t="shared" si="7"/>
        <v>217987.2</v>
      </c>
      <c r="V115" s="13">
        <f t="shared" si="8"/>
        <v>0.3</v>
      </c>
      <c r="W115" s="34">
        <f t="shared" si="9"/>
        <v>0.01</v>
      </c>
      <c r="X115" s="4">
        <f>IF(T115="S", B115*(1+'Input Fee and Elasticity Inputs'!$B$9), IF(T115="A", B115*(1+'Input Fee and Elasticity Inputs'!$B$10), IF(T115="B", B115*(1+'Input Fee and Elasticity Inputs'!$B$11), B115*(1+'Input Fee and Elasticity Inputs'!$B$12))))</f>
        <v>31737.6</v>
      </c>
      <c r="Y115" s="33">
        <f t="shared" si="10"/>
        <v>6.75</v>
      </c>
      <c r="Z115" s="33">
        <f t="shared" si="11"/>
        <v>214228.8</v>
      </c>
      <c r="AA115" s="33">
        <f t="shared" si="12"/>
        <v>-3758.4</v>
      </c>
    </row>
    <row r="116">
      <c r="A116" s="3" t="s">
        <v>123</v>
      </c>
      <c r="B116" s="4">
        <v>33060.0</v>
      </c>
      <c r="C116" s="5">
        <v>12.0</v>
      </c>
      <c r="D116" s="5">
        <v>14.0</v>
      </c>
      <c r="E116" s="6">
        <v>0.43</v>
      </c>
      <c r="F116" s="7">
        <v>22.1</v>
      </c>
      <c r="G116" s="6">
        <v>0.3</v>
      </c>
      <c r="H116" s="8">
        <v>0.0268</v>
      </c>
      <c r="I116" s="8">
        <v>0.01414609008</v>
      </c>
      <c r="J116" s="9">
        <v>6.0</v>
      </c>
      <c r="K116" s="29" t="str">
        <f t="shared" si="1"/>
        <v>SMB</v>
      </c>
      <c r="L116" s="30">
        <f t="shared" si="2"/>
        <v>6.63</v>
      </c>
      <c r="M116" s="31">
        <f>PERCENTRANK(B$3:B$202,B116)*'Input Resturant Brands Scoring '!$B$3</f>
        <v>15.12</v>
      </c>
      <c r="N116" s="32">
        <f>(1-PERCENTRANK(J$3:J$202,J116))*'Input Resturant Brands Scoring '!$B$5</f>
        <v>14.022</v>
      </c>
      <c r="O116" s="31">
        <f>(1-PERCENTRANK(I$3:I$202,I116))*'Input Resturant Brands Scoring '!$B$6</f>
        <v>9.828</v>
      </c>
      <c r="P116" s="31">
        <f t="shared" si="3"/>
        <v>23.85</v>
      </c>
      <c r="Q116" s="31">
        <f>PERCENTRANK(L$3:L$202,L116)*'Input Resturant Brands Scoring '!$B$7</f>
        <v>26.915</v>
      </c>
      <c r="R116" s="31">
        <f t="shared" si="4"/>
        <v>65.885</v>
      </c>
      <c r="S116" s="12">
        <f t="shared" si="5"/>
        <v>33</v>
      </c>
      <c r="T116" s="12" t="str">
        <f t="shared" si="13"/>
        <v>A</v>
      </c>
      <c r="U116" s="33">
        <f t="shared" si="7"/>
        <v>219187.8</v>
      </c>
      <c r="V116" s="13">
        <f t="shared" si="8"/>
        <v>0.295</v>
      </c>
      <c r="W116" s="34">
        <f t="shared" si="9"/>
        <v>-0.005</v>
      </c>
      <c r="X116" s="4">
        <f>IF(T116="S", B116*(1+'Input Fee and Elasticity Inputs'!$B$9), IF(T116="A", B116*(1+'Input Fee and Elasticity Inputs'!$B$10), IF(T116="B", B116*(1+'Input Fee and Elasticity Inputs'!$B$11), B116*(1+'Input Fee and Elasticity Inputs'!$B$12))))</f>
        <v>36366</v>
      </c>
      <c r="Y116" s="33">
        <f t="shared" si="10"/>
        <v>6.5195</v>
      </c>
      <c r="Z116" s="33">
        <f t="shared" si="11"/>
        <v>237088.137</v>
      </c>
      <c r="AA116" s="33">
        <f t="shared" si="12"/>
        <v>17900.337</v>
      </c>
    </row>
    <row r="117">
      <c r="A117" s="3" t="s">
        <v>124</v>
      </c>
      <c r="B117" s="4">
        <v>33000.0</v>
      </c>
      <c r="C117" s="5">
        <v>14.0</v>
      </c>
      <c r="D117" s="5">
        <v>67.0</v>
      </c>
      <c r="E117" s="6">
        <v>0.22</v>
      </c>
      <c r="F117" s="7">
        <v>12.3</v>
      </c>
      <c r="G117" s="6">
        <v>0.3</v>
      </c>
      <c r="H117" s="8">
        <v>0.2668</v>
      </c>
      <c r="I117" s="8">
        <v>0.013717138283999999</v>
      </c>
      <c r="J117" s="9">
        <v>4.0</v>
      </c>
      <c r="K117" s="29" t="str">
        <f t="shared" si="1"/>
        <v>SMB</v>
      </c>
      <c r="L117" s="30">
        <f t="shared" si="2"/>
        <v>3.69</v>
      </c>
      <c r="M117" s="31">
        <f>PERCENTRANK(B$3:B$202,B117)*'Input Resturant Brands Scoring '!$B$3</f>
        <v>14.945</v>
      </c>
      <c r="N117" s="32">
        <f>(1-PERCENTRANK(J$3:J$202,J117))*'Input Resturant Brands Scoring '!$B$5</f>
        <v>17.1</v>
      </c>
      <c r="O117" s="31">
        <f>(1-PERCENTRANK(I$3:I$202,I117))*'Input Resturant Brands Scoring '!$B$6</f>
        <v>10.308</v>
      </c>
      <c r="P117" s="31">
        <f t="shared" si="3"/>
        <v>27.408</v>
      </c>
      <c r="Q117" s="31">
        <f>PERCENTRANK(L$3:L$202,L117)*'Input Resturant Brands Scoring '!$B$7</f>
        <v>2.1</v>
      </c>
      <c r="R117" s="31">
        <f t="shared" si="4"/>
        <v>44.453</v>
      </c>
      <c r="S117" s="12">
        <f t="shared" si="5"/>
        <v>134</v>
      </c>
      <c r="T117" s="12" t="str">
        <f t="shared" si="13"/>
        <v>B</v>
      </c>
      <c r="U117" s="33">
        <f t="shared" si="7"/>
        <v>121770</v>
      </c>
      <c r="V117" s="13">
        <f t="shared" si="8"/>
        <v>0.3</v>
      </c>
      <c r="W117" s="34">
        <f t="shared" si="9"/>
        <v>0</v>
      </c>
      <c r="X117" s="4">
        <f>IF(T117="S", B117*(1+'Input Fee and Elasticity Inputs'!$B$9), IF(T117="A", B117*(1+'Input Fee and Elasticity Inputs'!$B$10), IF(T117="B", B117*(1+'Input Fee and Elasticity Inputs'!$B$11), B117*(1+'Input Fee and Elasticity Inputs'!$B$12))))</f>
        <v>31350</v>
      </c>
      <c r="Y117" s="33">
        <f t="shared" si="10"/>
        <v>3.69</v>
      </c>
      <c r="Z117" s="33">
        <f t="shared" si="11"/>
        <v>115681.5</v>
      </c>
      <c r="AA117" s="33">
        <f t="shared" si="12"/>
        <v>-6088.5</v>
      </c>
    </row>
    <row r="118">
      <c r="A118" s="3" t="s">
        <v>125</v>
      </c>
      <c r="B118" s="4">
        <v>32940.0</v>
      </c>
      <c r="C118" s="5">
        <v>9.0</v>
      </c>
      <c r="D118" s="5">
        <v>10.0</v>
      </c>
      <c r="E118" s="6">
        <v>0.33</v>
      </c>
      <c r="F118" s="7">
        <v>17.7</v>
      </c>
      <c r="G118" s="6">
        <v>0.3</v>
      </c>
      <c r="H118" s="8">
        <v>0.0544</v>
      </c>
      <c r="I118" s="8">
        <v>0.021855261605999998</v>
      </c>
      <c r="J118" s="9">
        <v>12.0</v>
      </c>
      <c r="K118" s="29" t="str">
        <f t="shared" si="1"/>
        <v>SMB</v>
      </c>
      <c r="L118" s="30">
        <f t="shared" si="2"/>
        <v>5.31</v>
      </c>
      <c r="M118" s="31">
        <f>PERCENTRANK(B$3:B$202,B118)*'Input Resturant Brands Scoring '!$B$3</f>
        <v>14.77</v>
      </c>
      <c r="N118" s="32">
        <f>(1-PERCENTRANK(J$3:J$202,J118))*'Input Resturant Brands Scoring '!$B$5</f>
        <v>7.326</v>
      </c>
      <c r="O118" s="31">
        <f>(1-PERCENTRANK(I$3:I$202,I118))*'Input Resturant Brands Scoring '!$B$6</f>
        <v>4.524</v>
      </c>
      <c r="P118" s="31">
        <f t="shared" si="3"/>
        <v>11.85</v>
      </c>
      <c r="Q118" s="31">
        <f>PERCENTRANK(L$3:L$202,L118)*'Input Resturant Brands Scoring '!$B$7</f>
        <v>16.345</v>
      </c>
      <c r="R118" s="31">
        <f t="shared" si="4"/>
        <v>42.965</v>
      </c>
      <c r="S118" s="12">
        <f t="shared" si="5"/>
        <v>142</v>
      </c>
      <c r="T118" s="12" t="str">
        <f t="shared" si="13"/>
        <v>B</v>
      </c>
      <c r="U118" s="33">
        <f t="shared" si="7"/>
        <v>174911.4</v>
      </c>
      <c r="V118" s="13">
        <f t="shared" si="8"/>
        <v>0.3</v>
      </c>
      <c r="W118" s="34">
        <f t="shared" si="9"/>
        <v>0</v>
      </c>
      <c r="X118" s="4">
        <f>IF(T118="S", B118*(1+'Input Fee and Elasticity Inputs'!$B$9), IF(T118="A", B118*(1+'Input Fee and Elasticity Inputs'!$B$10), IF(T118="B", B118*(1+'Input Fee and Elasticity Inputs'!$B$11), B118*(1+'Input Fee and Elasticity Inputs'!$B$12))))</f>
        <v>31293</v>
      </c>
      <c r="Y118" s="33">
        <f t="shared" si="10"/>
        <v>5.31</v>
      </c>
      <c r="Z118" s="33">
        <f t="shared" si="11"/>
        <v>166165.83</v>
      </c>
      <c r="AA118" s="33">
        <f t="shared" si="12"/>
        <v>-8745.57</v>
      </c>
    </row>
    <row r="119">
      <c r="A119" s="3" t="s">
        <v>126</v>
      </c>
      <c r="B119" s="4">
        <v>32292.0</v>
      </c>
      <c r="C119" s="5">
        <v>7.0</v>
      </c>
      <c r="D119" s="5">
        <v>8.0</v>
      </c>
      <c r="E119" s="6">
        <v>0.69</v>
      </c>
      <c r="F119" s="7">
        <v>17.1</v>
      </c>
      <c r="G119" s="6">
        <v>0.24</v>
      </c>
      <c r="H119" s="8">
        <v>0.0752</v>
      </c>
      <c r="I119" s="8">
        <v>0.016821485622</v>
      </c>
      <c r="J119" s="9">
        <v>9.0</v>
      </c>
      <c r="K119" s="29" t="str">
        <f t="shared" si="1"/>
        <v>SMB</v>
      </c>
      <c r="L119" s="30">
        <f t="shared" si="2"/>
        <v>4.104</v>
      </c>
      <c r="M119" s="31">
        <f>PERCENTRANK(B$3:B$202,B119)*'Input Resturant Brands Scoring '!$B$3</f>
        <v>14.595</v>
      </c>
      <c r="N119" s="32">
        <f>(1-PERCENTRANK(J$3:J$202,J119))*'Input Resturant Brands Scoring '!$B$5</f>
        <v>10.044</v>
      </c>
      <c r="O119" s="31">
        <f>(1-PERCENTRANK(I$3:I$202,I119))*'Input Resturant Brands Scoring '!$B$6</f>
        <v>7.116</v>
      </c>
      <c r="P119" s="31">
        <f t="shared" si="3"/>
        <v>17.16</v>
      </c>
      <c r="Q119" s="31">
        <f>PERCENTRANK(L$3:L$202,L119)*'Input Resturant Brands Scoring '!$B$7</f>
        <v>4.41</v>
      </c>
      <c r="R119" s="31">
        <f t="shared" si="4"/>
        <v>36.165</v>
      </c>
      <c r="S119" s="12">
        <f t="shared" si="5"/>
        <v>158</v>
      </c>
      <c r="T119" s="12" t="str">
        <f t="shared" si="13"/>
        <v>C</v>
      </c>
      <c r="U119" s="33">
        <f t="shared" si="7"/>
        <v>132526.368</v>
      </c>
      <c r="V119" s="13">
        <f t="shared" si="8"/>
        <v>0.27</v>
      </c>
      <c r="W119" s="34">
        <f t="shared" si="9"/>
        <v>0.03</v>
      </c>
      <c r="X119" s="4">
        <f>IF(T119="S", B119*(1+'Input Fee and Elasticity Inputs'!$B$9), IF(T119="A", B119*(1+'Input Fee and Elasticity Inputs'!$B$10), IF(T119="B", B119*(1+'Input Fee and Elasticity Inputs'!$B$11), B119*(1+'Input Fee and Elasticity Inputs'!$B$12))))</f>
        <v>27448.2</v>
      </c>
      <c r="Y119" s="33">
        <f t="shared" si="10"/>
        <v>4.617</v>
      </c>
      <c r="Z119" s="33">
        <f t="shared" si="11"/>
        <v>126728.3394</v>
      </c>
      <c r="AA119" s="33">
        <f t="shared" si="12"/>
        <v>-5798.0286</v>
      </c>
    </row>
    <row r="120">
      <c r="A120" s="3" t="s">
        <v>127</v>
      </c>
      <c r="B120" s="4">
        <v>32280.0</v>
      </c>
      <c r="C120" s="5">
        <v>7.0</v>
      </c>
      <c r="D120" s="5">
        <v>14.0</v>
      </c>
      <c r="E120" s="6">
        <v>0.57</v>
      </c>
      <c r="F120" s="7">
        <v>24.1</v>
      </c>
      <c r="G120" s="6">
        <v>0.3</v>
      </c>
      <c r="H120" s="8">
        <v>0.0536</v>
      </c>
      <c r="I120" s="8">
        <v>0.023332497144</v>
      </c>
      <c r="J120" s="9">
        <v>18.0</v>
      </c>
      <c r="K120" s="29" t="str">
        <f t="shared" si="1"/>
        <v>SMB</v>
      </c>
      <c r="L120" s="30">
        <f t="shared" si="2"/>
        <v>7.23</v>
      </c>
      <c r="M120" s="31">
        <f>PERCENTRANK(B$3:B$202,B120)*'Input Resturant Brands Scoring '!$B$3</f>
        <v>14.42</v>
      </c>
      <c r="N120" s="32">
        <f>(1-PERCENTRANK(J$3:J$202,J120))*'Input Resturant Brands Scoring '!$B$5</f>
        <v>3.978</v>
      </c>
      <c r="O120" s="31">
        <f>(1-PERCENTRANK(I$3:I$202,I120))*'Input Resturant Brands Scoring '!$B$6</f>
        <v>3.492</v>
      </c>
      <c r="P120" s="31">
        <f t="shared" si="3"/>
        <v>7.47</v>
      </c>
      <c r="Q120" s="31">
        <f>PERCENTRANK(L$3:L$202,L120)*'Input Resturant Brands Scoring '!$B$7</f>
        <v>29.89</v>
      </c>
      <c r="R120" s="31">
        <f t="shared" si="4"/>
        <v>51.78</v>
      </c>
      <c r="S120" s="12">
        <f t="shared" si="5"/>
        <v>97</v>
      </c>
      <c r="T120" s="12" t="str">
        <f t="shared" si="13"/>
        <v>B</v>
      </c>
      <c r="U120" s="33">
        <f t="shared" si="7"/>
        <v>233384.4</v>
      </c>
      <c r="V120" s="13">
        <f t="shared" si="8"/>
        <v>0.3</v>
      </c>
      <c r="W120" s="34">
        <f t="shared" si="9"/>
        <v>0</v>
      </c>
      <c r="X120" s="4">
        <f>IF(T120="S", B120*(1+'Input Fee and Elasticity Inputs'!$B$9), IF(T120="A", B120*(1+'Input Fee and Elasticity Inputs'!$B$10), IF(T120="B", B120*(1+'Input Fee and Elasticity Inputs'!$B$11), B120*(1+'Input Fee and Elasticity Inputs'!$B$12))))</f>
        <v>30666</v>
      </c>
      <c r="Y120" s="33">
        <f t="shared" si="10"/>
        <v>7.23</v>
      </c>
      <c r="Z120" s="33">
        <f t="shared" si="11"/>
        <v>221715.18</v>
      </c>
      <c r="AA120" s="33">
        <f t="shared" si="12"/>
        <v>-11669.22</v>
      </c>
    </row>
    <row r="121">
      <c r="A121" s="3" t="s">
        <v>128</v>
      </c>
      <c r="B121" s="4">
        <v>31416.0</v>
      </c>
      <c r="C121" s="5">
        <v>10.0</v>
      </c>
      <c r="D121" s="5">
        <v>24.0</v>
      </c>
      <c r="E121" s="6">
        <v>0.17</v>
      </c>
      <c r="F121" s="7">
        <v>20.8</v>
      </c>
      <c r="G121" s="6">
        <v>0.3</v>
      </c>
      <c r="H121" s="8">
        <v>0.028</v>
      </c>
      <c r="I121" s="8">
        <v>0.014396767044</v>
      </c>
      <c r="J121" s="9">
        <v>14.0</v>
      </c>
      <c r="K121" s="29" t="str">
        <f t="shared" si="1"/>
        <v>SMB</v>
      </c>
      <c r="L121" s="30">
        <f t="shared" si="2"/>
        <v>6.24</v>
      </c>
      <c r="M121" s="31">
        <f>PERCENTRANK(B$3:B$202,B121)*'Input Resturant Brands Scoring '!$B$3</f>
        <v>14.245</v>
      </c>
      <c r="N121" s="32">
        <f>(1-PERCENTRANK(J$3:J$202,J121))*'Input Resturant Brands Scoring '!$B$5</f>
        <v>6.426</v>
      </c>
      <c r="O121" s="31">
        <f>(1-PERCENTRANK(I$3:I$202,I121))*'Input Resturant Brands Scoring '!$B$6</f>
        <v>9.108</v>
      </c>
      <c r="P121" s="31">
        <f t="shared" si="3"/>
        <v>15.534</v>
      </c>
      <c r="Q121" s="31">
        <f>PERCENTRANK(L$3:L$202,L121)*'Input Resturant Brands Scoring '!$B$7</f>
        <v>24.815</v>
      </c>
      <c r="R121" s="31">
        <f t="shared" si="4"/>
        <v>54.594</v>
      </c>
      <c r="S121" s="12">
        <f t="shared" si="5"/>
        <v>79</v>
      </c>
      <c r="T121" s="12" t="str">
        <f t="shared" si="13"/>
        <v>B</v>
      </c>
      <c r="U121" s="33">
        <f t="shared" si="7"/>
        <v>196035.84</v>
      </c>
      <c r="V121" s="13">
        <f t="shared" si="8"/>
        <v>0.3</v>
      </c>
      <c r="W121" s="34">
        <f t="shared" si="9"/>
        <v>0</v>
      </c>
      <c r="X121" s="4">
        <f>IF(T121="S", B121*(1+'Input Fee and Elasticity Inputs'!$B$9), IF(T121="A", B121*(1+'Input Fee and Elasticity Inputs'!$B$10), IF(T121="B", B121*(1+'Input Fee and Elasticity Inputs'!$B$11), B121*(1+'Input Fee and Elasticity Inputs'!$B$12))))</f>
        <v>29845.2</v>
      </c>
      <c r="Y121" s="33">
        <f t="shared" si="10"/>
        <v>6.24</v>
      </c>
      <c r="Z121" s="33">
        <f t="shared" si="11"/>
        <v>186234.048</v>
      </c>
      <c r="AA121" s="33">
        <f t="shared" si="12"/>
        <v>-9801.792</v>
      </c>
    </row>
    <row r="122">
      <c r="A122" s="3" t="s">
        <v>129</v>
      </c>
      <c r="B122" s="4">
        <v>31320.0</v>
      </c>
      <c r="C122" s="5">
        <v>7.0</v>
      </c>
      <c r="D122" s="5">
        <v>11.0</v>
      </c>
      <c r="E122" s="6">
        <v>0.72</v>
      </c>
      <c r="F122" s="7">
        <v>27.8</v>
      </c>
      <c r="G122" s="6">
        <v>0.26</v>
      </c>
      <c r="H122" s="8">
        <v>0.0576</v>
      </c>
      <c r="I122" s="8">
        <v>0.013911334458</v>
      </c>
      <c r="J122" s="9">
        <v>5.0</v>
      </c>
      <c r="K122" s="29" t="str">
        <f t="shared" si="1"/>
        <v>SMB</v>
      </c>
      <c r="L122" s="30">
        <f t="shared" si="2"/>
        <v>7.228</v>
      </c>
      <c r="M122" s="31">
        <f>PERCENTRANK(B$3:B$202,B122)*'Input Resturant Brands Scoring '!$B$3</f>
        <v>14.07</v>
      </c>
      <c r="N122" s="32">
        <f>(1-PERCENTRANK(J$3:J$202,J122))*'Input Resturant Brands Scoring '!$B$5</f>
        <v>15.462</v>
      </c>
      <c r="O122" s="31">
        <f>(1-PERCENTRANK(I$3:I$202,I122))*'Input Resturant Brands Scoring '!$B$6</f>
        <v>10.068</v>
      </c>
      <c r="P122" s="31">
        <f t="shared" si="3"/>
        <v>25.53</v>
      </c>
      <c r="Q122" s="31">
        <f>PERCENTRANK(L$3:L$202,L122)*'Input Resturant Brands Scoring '!$B$7</f>
        <v>29.715</v>
      </c>
      <c r="R122" s="31">
        <f t="shared" si="4"/>
        <v>69.315</v>
      </c>
      <c r="S122" s="12">
        <f t="shared" si="5"/>
        <v>22</v>
      </c>
      <c r="T122" s="12" t="str">
        <f t="shared" si="13"/>
        <v>A</v>
      </c>
      <c r="U122" s="33">
        <f t="shared" si="7"/>
        <v>226380.96</v>
      </c>
      <c r="V122" s="13">
        <f t="shared" si="8"/>
        <v>0.255</v>
      </c>
      <c r="W122" s="34">
        <f t="shared" si="9"/>
        <v>-0.005</v>
      </c>
      <c r="X122" s="4">
        <f>IF(T122="S", B122*(1+'Input Fee and Elasticity Inputs'!$B$9), IF(T122="A", B122*(1+'Input Fee and Elasticity Inputs'!$B$10), IF(T122="B", B122*(1+'Input Fee and Elasticity Inputs'!$B$11), B122*(1+'Input Fee and Elasticity Inputs'!$B$12))))</f>
        <v>34452</v>
      </c>
      <c r="Y122" s="33">
        <f t="shared" si="10"/>
        <v>7.089</v>
      </c>
      <c r="Z122" s="33">
        <f t="shared" si="11"/>
        <v>244230.228</v>
      </c>
      <c r="AA122" s="33">
        <f t="shared" si="12"/>
        <v>17849.268</v>
      </c>
    </row>
    <row r="123">
      <c r="A123" s="3" t="s">
        <v>130</v>
      </c>
      <c r="B123" s="4">
        <v>31104.0</v>
      </c>
      <c r="C123" s="5">
        <v>10.0</v>
      </c>
      <c r="D123" s="5">
        <v>13.0</v>
      </c>
      <c r="E123" s="6">
        <v>1.0</v>
      </c>
      <c r="F123" s="7">
        <v>18.5</v>
      </c>
      <c r="G123" s="6">
        <v>0.3</v>
      </c>
      <c r="H123" s="8">
        <v>0.0496</v>
      </c>
      <c r="I123" s="8">
        <v>0.014267113367999998</v>
      </c>
      <c r="J123" s="9">
        <v>17.0</v>
      </c>
      <c r="K123" s="29" t="str">
        <f t="shared" si="1"/>
        <v>SMB</v>
      </c>
      <c r="L123" s="30">
        <f t="shared" si="2"/>
        <v>5.55</v>
      </c>
      <c r="M123" s="31">
        <f>PERCENTRANK(B$3:B$202,B123)*'Input Resturant Brands Scoring '!$B$3</f>
        <v>13.895</v>
      </c>
      <c r="N123" s="32">
        <f>(1-PERCENTRANK(J$3:J$202,J123))*'Input Resturant Brands Scoring '!$B$5</f>
        <v>4.608</v>
      </c>
      <c r="O123" s="31">
        <f>(1-PERCENTRANK(I$3:I$202,I123))*'Input Resturant Brands Scoring '!$B$6</f>
        <v>9.588</v>
      </c>
      <c r="P123" s="31">
        <f t="shared" si="3"/>
        <v>14.196</v>
      </c>
      <c r="Q123" s="31">
        <f>PERCENTRANK(L$3:L$202,L123)*'Input Resturant Brands Scoring '!$B$7</f>
        <v>19.355</v>
      </c>
      <c r="R123" s="31">
        <f t="shared" si="4"/>
        <v>47.446</v>
      </c>
      <c r="S123" s="12">
        <f t="shared" si="5"/>
        <v>118</v>
      </c>
      <c r="T123" s="12" t="str">
        <f t="shared" si="13"/>
        <v>B</v>
      </c>
      <c r="U123" s="33">
        <f t="shared" si="7"/>
        <v>172627.2</v>
      </c>
      <c r="V123" s="13">
        <f t="shared" si="8"/>
        <v>0.3</v>
      </c>
      <c r="W123" s="34">
        <f t="shared" si="9"/>
        <v>0</v>
      </c>
      <c r="X123" s="4">
        <f>IF(T123="S", B123*(1+'Input Fee and Elasticity Inputs'!$B$9), IF(T123="A", B123*(1+'Input Fee and Elasticity Inputs'!$B$10), IF(T123="B", B123*(1+'Input Fee and Elasticity Inputs'!$B$11), B123*(1+'Input Fee and Elasticity Inputs'!$B$12))))</f>
        <v>29548.8</v>
      </c>
      <c r="Y123" s="33">
        <f t="shared" si="10"/>
        <v>5.55</v>
      </c>
      <c r="Z123" s="33">
        <f t="shared" si="11"/>
        <v>163995.84</v>
      </c>
      <c r="AA123" s="33">
        <f t="shared" si="12"/>
        <v>-8631.36</v>
      </c>
    </row>
    <row r="124">
      <c r="A124" s="3" t="s">
        <v>131</v>
      </c>
      <c r="B124" s="4">
        <v>30756.0</v>
      </c>
      <c r="C124" s="5">
        <v>8.0</v>
      </c>
      <c r="D124" s="5">
        <v>9.0</v>
      </c>
      <c r="E124" s="6">
        <v>0.01</v>
      </c>
      <c r="F124" s="7">
        <v>27.8</v>
      </c>
      <c r="G124" s="6">
        <v>0.28</v>
      </c>
      <c r="H124" s="8">
        <v>0.0264</v>
      </c>
      <c r="I124" s="8">
        <v>0.017210518224</v>
      </c>
      <c r="J124" s="9">
        <v>6.0</v>
      </c>
      <c r="K124" s="29" t="str">
        <f t="shared" si="1"/>
        <v>SMB</v>
      </c>
      <c r="L124" s="30">
        <f t="shared" si="2"/>
        <v>7.784</v>
      </c>
      <c r="M124" s="31">
        <f>PERCENTRANK(B$3:B$202,B124)*'Input Resturant Brands Scoring '!$B$3</f>
        <v>13.72</v>
      </c>
      <c r="N124" s="32">
        <f>(1-PERCENTRANK(J$3:J$202,J124))*'Input Resturant Brands Scoring '!$B$5</f>
        <v>14.022</v>
      </c>
      <c r="O124" s="31">
        <f>(1-PERCENTRANK(I$3:I$202,I124))*'Input Resturant Brands Scoring '!$B$6</f>
        <v>6.996</v>
      </c>
      <c r="P124" s="31">
        <f t="shared" si="3"/>
        <v>21.018</v>
      </c>
      <c r="Q124" s="31">
        <f>PERCENTRANK(L$3:L$202,L124)*'Input Resturant Brands Scoring '!$B$7</f>
        <v>32.2</v>
      </c>
      <c r="R124" s="31">
        <f t="shared" si="4"/>
        <v>66.938</v>
      </c>
      <c r="S124" s="12">
        <f t="shared" si="5"/>
        <v>28</v>
      </c>
      <c r="T124" s="12" t="str">
        <f t="shared" si="13"/>
        <v>A</v>
      </c>
      <c r="U124" s="33">
        <f t="shared" si="7"/>
        <v>239404.704</v>
      </c>
      <c r="V124" s="13">
        <f t="shared" si="8"/>
        <v>0.275</v>
      </c>
      <c r="W124" s="34">
        <f t="shared" si="9"/>
        <v>-0.005</v>
      </c>
      <c r="X124" s="4">
        <f>IF(T124="S", B124*(1+'Input Fee and Elasticity Inputs'!$B$9), IF(T124="A", B124*(1+'Input Fee and Elasticity Inputs'!$B$10), IF(T124="B", B124*(1+'Input Fee and Elasticity Inputs'!$B$11), B124*(1+'Input Fee and Elasticity Inputs'!$B$12))))</f>
        <v>33831.6</v>
      </c>
      <c r="Y124" s="33">
        <f t="shared" si="10"/>
        <v>7.645</v>
      </c>
      <c r="Z124" s="33">
        <f t="shared" si="11"/>
        <v>258642.582</v>
      </c>
      <c r="AA124" s="33">
        <f t="shared" si="12"/>
        <v>19237.878</v>
      </c>
    </row>
    <row r="125">
      <c r="A125" s="3" t="s">
        <v>132</v>
      </c>
      <c r="B125" s="4">
        <v>30744.0</v>
      </c>
      <c r="C125" s="5">
        <v>9.0</v>
      </c>
      <c r="D125" s="5">
        <v>12.0</v>
      </c>
      <c r="E125" s="6">
        <v>0.14</v>
      </c>
      <c r="F125" s="7">
        <v>18.6</v>
      </c>
      <c r="G125" s="6">
        <v>0.3</v>
      </c>
      <c r="H125" s="8">
        <v>0.01</v>
      </c>
      <c r="I125" s="8">
        <v>0.013187972022</v>
      </c>
      <c r="J125" s="9">
        <v>4.0</v>
      </c>
      <c r="K125" s="29" t="str">
        <f t="shared" si="1"/>
        <v>SMB</v>
      </c>
      <c r="L125" s="30">
        <f t="shared" si="2"/>
        <v>5.58</v>
      </c>
      <c r="M125" s="31">
        <f>PERCENTRANK(B$3:B$202,B125)*'Input Resturant Brands Scoring '!$B$3</f>
        <v>13.545</v>
      </c>
      <c r="N125" s="32">
        <f>(1-PERCENTRANK(J$3:J$202,J125))*'Input Resturant Brands Scoring '!$B$5</f>
        <v>17.1</v>
      </c>
      <c r="O125" s="31">
        <f>(1-PERCENTRANK(I$3:I$202,I125))*'Input Resturant Brands Scoring '!$B$6</f>
        <v>10.728</v>
      </c>
      <c r="P125" s="31">
        <f t="shared" si="3"/>
        <v>27.828</v>
      </c>
      <c r="Q125" s="31">
        <f>PERCENTRANK(L$3:L$202,L125)*'Input Resturant Brands Scoring '!$B$7</f>
        <v>19.705</v>
      </c>
      <c r="R125" s="31">
        <f t="shared" si="4"/>
        <v>61.078</v>
      </c>
      <c r="S125" s="12">
        <f t="shared" si="5"/>
        <v>51</v>
      </c>
      <c r="T125" s="12" t="str">
        <f t="shared" si="13"/>
        <v>B</v>
      </c>
      <c r="U125" s="33">
        <f t="shared" si="7"/>
        <v>171551.52</v>
      </c>
      <c r="V125" s="13">
        <f t="shared" si="8"/>
        <v>0.3</v>
      </c>
      <c r="W125" s="34">
        <f t="shared" si="9"/>
        <v>0</v>
      </c>
      <c r="X125" s="4">
        <f>IF(T125="S", B125*(1+'Input Fee and Elasticity Inputs'!$B$9), IF(T125="A", B125*(1+'Input Fee and Elasticity Inputs'!$B$10), IF(T125="B", B125*(1+'Input Fee and Elasticity Inputs'!$B$11), B125*(1+'Input Fee and Elasticity Inputs'!$B$12))))</f>
        <v>29206.8</v>
      </c>
      <c r="Y125" s="33">
        <f t="shared" si="10"/>
        <v>5.58</v>
      </c>
      <c r="Z125" s="33">
        <f t="shared" si="11"/>
        <v>162973.944</v>
      </c>
      <c r="AA125" s="33">
        <f t="shared" si="12"/>
        <v>-8577.576</v>
      </c>
    </row>
    <row r="126">
      <c r="A126" s="3" t="s">
        <v>133</v>
      </c>
      <c r="B126" s="4">
        <v>28908.0</v>
      </c>
      <c r="C126" s="5">
        <v>8.0</v>
      </c>
      <c r="D126" s="5">
        <v>31.0</v>
      </c>
      <c r="E126" s="6">
        <v>0.16</v>
      </c>
      <c r="F126" s="7">
        <v>18.9</v>
      </c>
      <c r="G126" s="6">
        <v>0.27</v>
      </c>
      <c r="H126" s="8">
        <v>0.03</v>
      </c>
      <c r="I126" s="8">
        <v>0.013477483338</v>
      </c>
      <c r="J126" s="9">
        <v>9.0</v>
      </c>
      <c r="K126" s="29" t="str">
        <f t="shared" si="1"/>
        <v>SMB</v>
      </c>
      <c r="L126" s="30">
        <f t="shared" si="2"/>
        <v>5.103</v>
      </c>
      <c r="M126" s="31">
        <f>PERCENTRANK(B$3:B$202,B126)*'Input Resturant Brands Scoring '!$B$3</f>
        <v>13.37</v>
      </c>
      <c r="N126" s="32">
        <f>(1-PERCENTRANK(J$3:J$202,J126))*'Input Resturant Brands Scoring '!$B$5</f>
        <v>10.044</v>
      </c>
      <c r="O126" s="31">
        <f>(1-PERCENTRANK(I$3:I$202,I126))*'Input Resturant Brands Scoring '!$B$6</f>
        <v>10.668</v>
      </c>
      <c r="P126" s="31">
        <f t="shared" si="3"/>
        <v>20.712</v>
      </c>
      <c r="Q126" s="31">
        <f>PERCENTRANK(L$3:L$202,L126)*'Input Resturant Brands Scoring '!$B$7</f>
        <v>13.545</v>
      </c>
      <c r="R126" s="31">
        <f t="shared" si="4"/>
        <v>47.627</v>
      </c>
      <c r="S126" s="12">
        <f t="shared" si="5"/>
        <v>116</v>
      </c>
      <c r="T126" s="12" t="str">
        <f t="shared" si="13"/>
        <v>B</v>
      </c>
      <c r="U126" s="33">
        <f t="shared" si="7"/>
        <v>147517.524</v>
      </c>
      <c r="V126" s="13">
        <f t="shared" si="8"/>
        <v>0.29</v>
      </c>
      <c r="W126" s="34">
        <f t="shared" si="9"/>
        <v>0.02</v>
      </c>
      <c r="X126" s="4">
        <f>IF(T126="S", B126*(1+'Input Fee and Elasticity Inputs'!$B$9), IF(T126="A", B126*(1+'Input Fee and Elasticity Inputs'!$B$10), IF(T126="B", B126*(1+'Input Fee and Elasticity Inputs'!$B$11), B126*(1+'Input Fee and Elasticity Inputs'!$B$12))))</f>
        <v>27462.6</v>
      </c>
      <c r="Y126" s="33">
        <f t="shared" si="10"/>
        <v>5.481</v>
      </c>
      <c r="Z126" s="33">
        <f t="shared" si="11"/>
        <v>150522.5106</v>
      </c>
      <c r="AA126" s="33">
        <f t="shared" si="12"/>
        <v>3004.9866</v>
      </c>
    </row>
    <row r="127">
      <c r="A127" s="3" t="s">
        <v>134</v>
      </c>
      <c r="B127" s="4">
        <v>28896.0</v>
      </c>
      <c r="C127" s="5">
        <v>9.0</v>
      </c>
      <c r="D127" s="5">
        <v>69.0</v>
      </c>
      <c r="E127" s="6">
        <v>0.29</v>
      </c>
      <c r="F127" s="7">
        <v>21.2</v>
      </c>
      <c r="G127" s="6">
        <v>0.29</v>
      </c>
      <c r="H127" s="8">
        <v>0.0432</v>
      </c>
      <c r="I127" s="8">
        <v>0.019723351230000002</v>
      </c>
      <c r="J127" s="9">
        <v>8.0</v>
      </c>
      <c r="K127" s="29" t="str">
        <f t="shared" si="1"/>
        <v>SMB</v>
      </c>
      <c r="L127" s="30">
        <f t="shared" si="2"/>
        <v>6.148</v>
      </c>
      <c r="M127" s="31">
        <f>PERCENTRANK(B$3:B$202,B127)*'Input Resturant Brands Scoring '!$B$3</f>
        <v>13.195</v>
      </c>
      <c r="N127" s="32">
        <f>(1-PERCENTRANK(J$3:J$202,J127))*'Input Resturant Brands Scoring '!$B$5</f>
        <v>11.574</v>
      </c>
      <c r="O127" s="31">
        <f>(1-PERCENTRANK(I$3:I$202,I127))*'Input Resturant Brands Scoring '!$B$6</f>
        <v>5.364</v>
      </c>
      <c r="P127" s="31">
        <f t="shared" si="3"/>
        <v>16.938</v>
      </c>
      <c r="Q127" s="31">
        <f>PERCENTRANK(L$3:L$202,L127)*'Input Resturant Brands Scoring '!$B$7</f>
        <v>24.08</v>
      </c>
      <c r="R127" s="31">
        <f t="shared" si="4"/>
        <v>54.213</v>
      </c>
      <c r="S127" s="12">
        <f t="shared" si="5"/>
        <v>83</v>
      </c>
      <c r="T127" s="12" t="str">
        <f t="shared" si="13"/>
        <v>B</v>
      </c>
      <c r="U127" s="33">
        <f t="shared" si="7"/>
        <v>177652.608</v>
      </c>
      <c r="V127" s="13">
        <f t="shared" si="8"/>
        <v>0.3</v>
      </c>
      <c r="W127" s="34">
        <f t="shared" si="9"/>
        <v>0.01</v>
      </c>
      <c r="X127" s="4">
        <f>IF(T127="S", B127*(1+'Input Fee and Elasticity Inputs'!$B$9), IF(T127="A", B127*(1+'Input Fee and Elasticity Inputs'!$B$10), IF(T127="B", B127*(1+'Input Fee and Elasticity Inputs'!$B$11), B127*(1+'Input Fee and Elasticity Inputs'!$B$12))))</f>
        <v>27451.2</v>
      </c>
      <c r="Y127" s="33">
        <f t="shared" si="10"/>
        <v>6.36</v>
      </c>
      <c r="Z127" s="33">
        <f t="shared" si="11"/>
        <v>174589.632</v>
      </c>
      <c r="AA127" s="33">
        <f t="shared" si="12"/>
        <v>-3062.976</v>
      </c>
    </row>
    <row r="128">
      <c r="A128" s="3" t="s">
        <v>135</v>
      </c>
      <c r="B128" s="4">
        <v>28620.0</v>
      </c>
      <c r="C128" s="5">
        <v>9.0</v>
      </c>
      <c r="D128" s="5">
        <v>25.0</v>
      </c>
      <c r="E128" s="6">
        <v>0.47</v>
      </c>
      <c r="F128" s="7">
        <v>27.3</v>
      </c>
      <c r="G128" s="6">
        <v>0.27</v>
      </c>
      <c r="H128" s="8">
        <v>0.0996</v>
      </c>
      <c r="I128" s="8">
        <v>0.021550879218</v>
      </c>
      <c r="J128" s="9">
        <v>19.0</v>
      </c>
      <c r="K128" s="29" t="str">
        <f t="shared" si="1"/>
        <v>SMB</v>
      </c>
      <c r="L128" s="30">
        <f t="shared" si="2"/>
        <v>7.371</v>
      </c>
      <c r="M128" s="31">
        <f>PERCENTRANK(B$3:B$202,B128)*'Input Resturant Brands Scoring '!$B$3</f>
        <v>13.02</v>
      </c>
      <c r="N128" s="32">
        <f>(1-PERCENTRANK(J$3:J$202,J128))*'Input Resturant Brands Scoring '!$B$5</f>
        <v>3.798</v>
      </c>
      <c r="O128" s="31">
        <f>(1-PERCENTRANK(I$3:I$202,I128))*'Input Resturant Brands Scoring '!$B$6</f>
        <v>4.764</v>
      </c>
      <c r="P128" s="31">
        <f t="shared" si="3"/>
        <v>8.562</v>
      </c>
      <c r="Q128" s="31">
        <f>PERCENTRANK(L$3:L$202,L128)*'Input Resturant Brands Scoring '!$B$7</f>
        <v>30.59</v>
      </c>
      <c r="R128" s="31">
        <f t="shared" si="4"/>
        <v>52.172</v>
      </c>
      <c r="S128" s="12">
        <f t="shared" si="5"/>
        <v>93</v>
      </c>
      <c r="T128" s="12" t="str">
        <f t="shared" si="13"/>
        <v>B</v>
      </c>
      <c r="U128" s="33">
        <f t="shared" si="7"/>
        <v>210958.02</v>
      </c>
      <c r="V128" s="13">
        <f t="shared" si="8"/>
        <v>0.29</v>
      </c>
      <c r="W128" s="34">
        <f t="shared" si="9"/>
        <v>0.02</v>
      </c>
      <c r="X128" s="4">
        <f>IF(T128="S", B128*(1+'Input Fee and Elasticity Inputs'!$B$9), IF(T128="A", B128*(1+'Input Fee and Elasticity Inputs'!$B$10), IF(T128="B", B128*(1+'Input Fee and Elasticity Inputs'!$B$11), B128*(1+'Input Fee and Elasticity Inputs'!$B$12))))</f>
        <v>27189</v>
      </c>
      <c r="Y128" s="33">
        <f t="shared" si="10"/>
        <v>7.917</v>
      </c>
      <c r="Z128" s="33">
        <f t="shared" si="11"/>
        <v>215255.313</v>
      </c>
      <c r="AA128" s="33">
        <f t="shared" si="12"/>
        <v>4297.293</v>
      </c>
    </row>
    <row r="129">
      <c r="A129" s="3" t="s">
        <v>136</v>
      </c>
      <c r="B129" s="4">
        <v>28512.0</v>
      </c>
      <c r="C129" s="5">
        <v>8.0</v>
      </c>
      <c r="D129" s="5">
        <v>10.0</v>
      </c>
      <c r="E129" s="6">
        <v>0.5</v>
      </c>
      <c r="F129" s="7">
        <v>32.2</v>
      </c>
      <c r="G129" s="6">
        <v>0.3</v>
      </c>
      <c r="H129" s="8">
        <v>0.0284</v>
      </c>
      <c r="I129" s="8">
        <v>0.021870495233999997</v>
      </c>
      <c r="J129" s="9">
        <v>6.0</v>
      </c>
      <c r="K129" s="29" t="str">
        <f t="shared" si="1"/>
        <v>SMB</v>
      </c>
      <c r="L129" s="30">
        <f t="shared" si="2"/>
        <v>9.66</v>
      </c>
      <c r="M129" s="31">
        <f>PERCENTRANK(B$3:B$202,B129)*'Input Resturant Brands Scoring '!$B$3</f>
        <v>12.845</v>
      </c>
      <c r="N129" s="32">
        <f>(1-PERCENTRANK(J$3:J$202,J129))*'Input Resturant Brands Scoring '!$B$5</f>
        <v>14.022</v>
      </c>
      <c r="O129" s="31">
        <f>(1-PERCENTRANK(I$3:I$202,I129))*'Input Resturant Brands Scoring '!$B$6</f>
        <v>4.464</v>
      </c>
      <c r="P129" s="31">
        <f t="shared" si="3"/>
        <v>18.486</v>
      </c>
      <c r="Q129" s="31">
        <f>PERCENTRANK(L$3:L$202,L129)*'Input Resturant Brands Scoring '!$B$7</f>
        <v>34.65</v>
      </c>
      <c r="R129" s="31">
        <f t="shared" si="4"/>
        <v>65.981</v>
      </c>
      <c r="S129" s="12">
        <f t="shared" si="5"/>
        <v>32</v>
      </c>
      <c r="T129" s="12" t="str">
        <f t="shared" si="13"/>
        <v>A</v>
      </c>
      <c r="U129" s="33">
        <f t="shared" si="7"/>
        <v>275425.92</v>
      </c>
      <c r="V129" s="13">
        <f t="shared" si="8"/>
        <v>0.295</v>
      </c>
      <c r="W129" s="34">
        <f t="shared" si="9"/>
        <v>-0.005</v>
      </c>
      <c r="X129" s="4">
        <f>IF(T129="S", B129*(1+'Input Fee and Elasticity Inputs'!$B$9), IF(T129="A", B129*(1+'Input Fee and Elasticity Inputs'!$B$10), IF(T129="B", B129*(1+'Input Fee and Elasticity Inputs'!$B$11), B129*(1+'Input Fee and Elasticity Inputs'!$B$12))))</f>
        <v>31363.2</v>
      </c>
      <c r="Y129" s="33">
        <f t="shared" si="10"/>
        <v>9.499</v>
      </c>
      <c r="Z129" s="33">
        <f t="shared" si="11"/>
        <v>297919.0368</v>
      </c>
      <c r="AA129" s="33">
        <f t="shared" si="12"/>
        <v>22493.1168</v>
      </c>
    </row>
    <row r="130">
      <c r="A130" s="3" t="s">
        <v>137</v>
      </c>
      <c r="B130" s="4">
        <v>28080.0</v>
      </c>
      <c r="C130" s="5">
        <v>11.0</v>
      </c>
      <c r="D130" s="5">
        <v>24.0</v>
      </c>
      <c r="E130" s="6">
        <v>0.06</v>
      </c>
      <c r="F130" s="7">
        <v>29.9</v>
      </c>
      <c r="G130" s="6">
        <v>0.3</v>
      </c>
      <c r="H130" s="8">
        <v>0.088</v>
      </c>
      <c r="I130" s="8">
        <v>0.01741001934</v>
      </c>
      <c r="J130" s="9">
        <v>29.0</v>
      </c>
      <c r="K130" s="29" t="str">
        <f t="shared" si="1"/>
        <v>SMB</v>
      </c>
      <c r="L130" s="30">
        <f t="shared" si="2"/>
        <v>8.97</v>
      </c>
      <c r="M130" s="31">
        <f>PERCENTRANK(B$3:B$202,B130)*'Input Resturant Brands Scoring '!$B$3</f>
        <v>12.495</v>
      </c>
      <c r="N130" s="32">
        <f>(1-PERCENTRANK(J$3:J$202,J130))*'Input Resturant Brands Scoring '!$B$5</f>
        <v>1.44</v>
      </c>
      <c r="O130" s="31">
        <f>(1-PERCENTRANK(I$3:I$202,I130))*'Input Resturant Brands Scoring '!$B$6</f>
        <v>6.816</v>
      </c>
      <c r="P130" s="31">
        <f t="shared" si="3"/>
        <v>8.256</v>
      </c>
      <c r="Q130" s="31">
        <f>PERCENTRANK(L$3:L$202,L130)*'Input Resturant Brands Scoring '!$B$7</f>
        <v>34.125</v>
      </c>
      <c r="R130" s="31">
        <f t="shared" si="4"/>
        <v>54.876</v>
      </c>
      <c r="S130" s="12">
        <f t="shared" si="5"/>
        <v>76</v>
      </c>
      <c r="T130" s="12" t="str">
        <f t="shared" si="13"/>
        <v>B</v>
      </c>
      <c r="U130" s="33">
        <f t="shared" si="7"/>
        <v>251877.6</v>
      </c>
      <c r="V130" s="13">
        <f t="shared" si="8"/>
        <v>0.3</v>
      </c>
      <c r="W130" s="34">
        <f t="shared" si="9"/>
        <v>0</v>
      </c>
      <c r="X130" s="4">
        <f>IF(T130="S", B130*(1+'Input Fee and Elasticity Inputs'!$B$9), IF(T130="A", B130*(1+'Input Fee and Elasticity Inputs'!$B$10), IF(T130="B", B130*(1+'Input Fee and Elasticity Inputs'!$B$11), B130*(1+'Input Fee and Elasticity Inputs'!$B$12))))</f>
        <v>26676</v>
      </c>
      <c r="Y130" s="33">
        <f t="shared" si="10"/>
        <v>8.97</v>
      </c>
      <c r="Z130" s="33">
        <f t="shared" si="11"/>
        <v>239283.72</v>
      </c>
      <c r="AA130" s="33">
        <f t="shared" si="12"/>
        <v>-12593.88</v>
      </c>
    </row>
    <row r="131">
      <c r="A131" s="3" t="s">
        <v>138</v>
      </c>
      <c r="B131" s="4">
        <v>28080.0</v>
      </c>
      <c r="C131" s="5">
        <v>7.0</v>
      </c>
      <c r="D131" s="5">
        <v>26.0</v>
      </c>
      <c r="E131" s="6">
        <v>0.21</v>
      </c>
      <c r="F131" s="7">
        <v>15.4</v>
      </c>
      <c r="G131" s="6">
        <v>0.3</v>
      </c>
      <c r="H131" s="8">
        <v>0.0272</v>
      </c>
      <c r="I131" s="8">
        <v>0.01867707036</v>
      </c>
      <c r="J131" s="9">
        <v>11.0</v>
      </c>
      <c r="K131" s="29" t="str">
        <f t="shared" si="1"/>
        <v>SMB</v>
      </c>
      <c r="L131" s="30">
        <f t="shared" si="2"/>
        <v>4.62</v>
      </c>
      <c r="M131" s="31">
        <f>PERCENTRANK(B$3:B$202,B131)*'Input Resturant Brands Scoring '!$B$3</f>
        <v>12.495</v>
      </c>
      <c r="N131" s="32">
        <f>(1-PERCENTRANK(J$3:J$202,J131))*'Input Resturant Brands Scoring '!$B$5</f>
        <v>8.136</v>
      </c>
      <c r="O131" s="31">
        <f>(1-PERCENTRANK(I$3:I$202,I131))*'Input Resturant Brands Scoring '!$B$6</f>
        <v>5.964</v>
      </c>
      <c r="P131" s="31">
        <f t="shared" si="3"/>
        <v>14.1</v>
      </c>
      <c r="Q131" s="31">
        <f>PERCENTRANK(L$3:L$202,L131)*'Input Resturant Brands Scoring '!$B$7</f>
        <v>8.96</v>
      </c>
      <c r="R131" s="31">
        <f t="shared" si="4"/>
        <v>35.555</v>
      </c>
      <c r="S131" s="12">
        <f t="shared" si="5"/>
        <v>166</v>
      </c>
      <c r="T131" s="12" t="str">
        <f t="shared" si="13"/>
        <v>C</v>
      </c>
      <c r="U131" s="33">
        <f t="shared" si="7"/>
        <v>129729.6</v>
      </c>
      <c r="V131" s="13">
        <f t="shared" si="8"/>
        <v>0.3</v>
      </c>
      <c r="W131" s="34">
        <f t="shared" si="9"/>
        <v>0</v>
      </c>
      <c r="X131" s="4">
        <f>IF(T131="S", B131*(1+'Input Fee and Elasticity Inputs'!$B$9), IF(T131="A", B131*(1+'Input Fee and Elasticity Inputs'!$B$10), IF(T131="B", B131*(1+'Input Fee and Elasticity Inputs'!$B$11), B131*(1+'Input Fee and Elasticity Inputs'!$B$12))))</f>
        <v>23868</v>
      </c>
      <c r="Y131" s="33">
        <f t="shared" si="10"/>
        <v>4.62</v>
      </c>
      <c r="Z131" s="33">
        <f t="shared" si="11"/>
        <v>110270.16</v>
      </c>
      <c r="AA131" s="33">
        <f t="shared" si="12"/>
        <v>-19459.44</v>
      </c>
    </row>
    <row r="132">
      <c r="A132" s="3" t="s">
        <v>139</v>
      </c>
      <c r="B132" s="4">
        <v>27984.0</v>
      </c>
      <c r="C132" s="5">
        <v>14.0</v>
      </c>
      <c r="D132" s="5">
        <v>18.0</v>
      </c>
      <c r="E132" s="6">
        <v>0.28</v>
      </c>
      <c r="F132" s="7">
        <v>17.8</v>
      </c>
      <c r="G132" s="6">
        <v>0.28</v>
      </c>
      <c r="H132" s="8">
        <v>0.0544</v>
      </c>
      <c r="I132" s="8">
        <v>0.02317128093</v>
      </c>
      <c r="J132" s="9">
        <v>11.0</v>
      </c>
      <c r="K132" s="29" t="str">
        <f t="shared" si="1"/>
        <v>SMB</v>
      </c>
      <c r="L132" s="30">
        <f t="shared" si="2"/>
        <v>4.984</v>
      </c>
      <c r="M132" s="31">
        <f>PERCENTRANK(B$3:B$202,B132)*'Input Resturant Brands Scoring '!$B$3</f>
        <v>12.32</v>
      </c>
      <c r="N132" s="32">
        <f>(1-PERCENTRANK(J$3:J$202,J132))*'Input Resturant Brands Scoring '!$B$5</f>
        <v>8.136</v>
      </c>
      <c r="O132" s="31">
        <f>(1-PERCENTRANK(I$3:I$202,I132))*'Input Resturant Brands Scoring '!$B$6</f>
        <v>3.684</v>
      </c>
      <c r="P132" s="31">
        <f t="shared" si="3"/>
        <v>11.82</v>
      </c>
      <c r="Q132" s="31">
        <f>PERCENTRANK(L$3:L$202,L132)*'Input Resturant Brands Scoring '!$B$7</f>
        <v>12.495</v>
      </c>
      <c r="R132" s="31">
        <f t="shared" si="4"/>
        <v>36.635</v>
      </c>
      <c r="S132" s="12">
        <f t="shared" si="5"/>
        <v>157</v>
      </c>
      <c r="T132" s="12" t="str">
        <f t="shared" si="13"/>
        <v>C</v>
      </c>
      <c r="U132" s="33">
        <f t="shared" si="7"/>
        <v>139472.256</v>
      </c>
      <c r="V132" s="13">
        <f t="shared" si="8"/>
        <v>0.3</v>
      </c>
      <c r="W132" s="34">
        <f t="shared" si="9"/>
        <v>0.02</v>
      </c>
      <c r="X132" s="4">
        <f>IF(T132="S", B132*(1+'Input Fee and Elasticity Inputs'!$B$9), IF(T132="A", B132*(1+'Input Fee and Elasticity Inputs'!$B$10), IF(T132="B", B132*(1+'Input Fee and Elasticity Inputs'!$B$11), B132*(1+'Input Fee and Elasticity Inputs'!$B$12))))</f>
        <v>23786.4</v>
      </c>
      <c r="Y132" s="33">
        <f t="shared" si="10"/>
        <v>5.34</v>
      </c>
      <c r="Z132" s="33">
        <f t="shared" si="11"/>
        <v>127019.376</v>
      </c>
      <c r="AA132" s="33">
        <f t="shared" si="12"/>
        <v>-12452.88</v>
      </c>
    </row>
    <row r="133">
      <c r="A133" s="3" t="s">
        <v>140</v>
      </c>
      <c r="B133" s="4">
        <v>27840.0</v>
      </c>
      <c r="C133" s="5">
        <v>6.0</v>
      </c>
      <c r="D133" s="5">
        <v>55.0</v>
      </c>
      <c r="E133" s="6">
        <v>0.58</v>
      </c>
      <c r="F133" s="7">
        <v>28.3</v>
      </c>
      <c r="G133" s="6">
        <v>0.23</v>
      </c>
      <c r="H133" s="8">
        <v>0.1064</v>
      </c>
      <c r="I133" s="8">
        <v>0.016064151282</v>
      </c>
      <c r="J133" s="9">
        <v>36.0</v>
      </c>
      <c r="K133" s="29" t="str">
        <f t="shared" si="1"/>
        <v>SMB</v>
      </c>
      <c r="L133" s="30">
        <f t="shared" si="2"/>
        <v>6.509</v>
      </c>
      <c r="M133" s="31">
        <f>PERCENTRANK(B$3:B$202,B133)*'Input Resturant Brands Scoring '!$B$3</f>
        <v>12.145</v>
      </c>
      <c r="N133" s="32">
        <f>(1-PERCENTRANK(J$3:J$202,J133))*'Input Resturant Brands Scoring '!$B$5</f>
        <v>0.9</v>
      </c>
      <c r="O133" s="31">
        <f>(1-PERCENTRANK(I$3:I$202,I133))*'Input Resturant Brands Scoring '!$B$6</f>
        <v>8.016</v>
      </c>
      <c r="P133" s="31">
        <f t="shared" si="3"/>
        <v>8.916</v>
      </c>
      <c r="Q133" s="31">
        <f>PERCENTRANK(L$3:L$202,L133)*'Input Resturant Brands Scoring '!$B$7</f>
        <v>25.865</v>
      </c>
      <c r="R133" s="31">
        <f t="shared" si="4"/>
        <v>46.926</v>
      </c>
      <c r="S133" s="12">
        <f t="shared" si="5"/>
        <v>122</v>
      </c>
      <c r="T133" s="12" t="str">
        <f t="shared" si="13"/>
        <v>B</v>
      </c>
      <c r="U133" s="33">
        <f t="shared" si="7"/>
        <v>181210.56</v>
      </c>
      <c r="V133" s="13">
        <f t="shared" si="8"/>
        <v>0.25</v>
      </c>
      <c r="W133" s="34">
        <f t="shared" si="9"/>
        <v>0.02</v>
      </c>
      <c r="X133" s="4">
        <f>IF(T133="S", B133*(1+'Input Fee and Elasticity Inputs'!$B$9), IF(T133="A", B133*(1+'Input Fee and Elasticity Inputs'!$B$10), IF(T133="B", B133*(1+'Input Fee and Elasticity Inputs'!$B$11), B133*(1+'Input Fee and Elasticity Inputs'!$B$12))))</f>
        <v>26448</v>
      </c>
      <c r="Y133" s="33">
        <f t="shared" si="10"/>
        <v>7.075</v>
      </c>
      <c r="Z133" s="33">
        <f t="shared" si="11"/>
        <v>187119.6</v>
      </c>
      <c r="AA133" s="33">
        <f t="shared" si="12"/>
        <v>5909.04</v>
      </c>
    </row>
    <row r="134">
      <c r="A134" s="3" t="s">
        <v>141</v>
      </c>
      <c r="B134" s="4">
        <v>27648.0</v>
      </c>
      <c r="C134" s="5">
        <v>6.0</v>
      </c>
      <c r="D134" s="5">
        <v>19.0</v>
      </c>
      <c r="E134" s="6">
        <v>0.67</v>
      </c>
      <c r="F134" s="7">
        <v>26.9</v>
      </c>
      <c r="G134" s="6">
        <v>0.3</v>
      </c>
      <c r="H134" s="8">
        <v>0.0968</v>
      </c>
      <c r="I134" s="8">
        <v>0.01450638516</v>
      </c>
      <c r="J134" s="9">
        <v>44.0</v>
      </c>
      <c r="K134" s="29" t="str">
        <f t="shared" si="1"/>
        <v>SMB</v>
      </c>
      <c r="L134" s="30">
        <f t="shared" si="2"/>
        <v>8.07</v>
      </c>
      <c r="M134" s="31">
        <f>PERCENTRANK(B$3:B$202,B134)*'Input Resturant Brands Scoring '!$B$3</f>
        <v>11.97</v>
      </c>
      <c r="N134" s="32">
        <f>(1-PERCENTRANK(J$3:J$202,J134))*'Input Resturant Brands Scoring '!$B$5</f>
        <v>0.36</v>
      </c>
      <c r="O134" s="31">
        <f>(1-PERCENTRANK(I$3:I$202,I134))*'Input Resturant Brands Scoring '!$B$6</f>
        <v>8.928</v>
      </c>
      <c r="P134" s="31">
        <f t="shared" si="3"/>
        <v>9.288</v>
      </c>
      <c r="Q134" s="31">
        <f>PERCENTRANK(L$3:L$202,L134)*'Input Resturant Brands Scoring '!$B$7</f>
        <v>32.725</v>
      </c>
      <c r="R134" s="31">
        <f t="shared" si="4"/>
        <v>53.983</v>
      </c>
      <c r="S134" s="12">
        <f t="shared" si="5"/>
        <v>86</v>
      </c>
      <c r="T134" s="12" t="str">
        <f t="shared" si="13"/>
        <v>B</v>
      </c>
      <c r="U134" s="33">
        <f t="shared" si="7"/>
        <v>223119.36</v>
      </c>
      <c r="V134" s="13">
        <f t="shared" si="8"/>
        <v>0.3</v>
      </c>
      <c r="W134" s="34">
        <f t="shared" si="9"/>
        <v>0</v>
      </c>
      <c r="X134" s="4">
        <f>IF(T134="S", B134*(1+'Input Fee and Elasticity Inputs'!$B$9), IF(T134="A", B134*(1+'Input Fee and Elasticity Inputs'!$B$10), IF(T134="B", B134*(1+'Input Fee and Elasticity Inputs'!$B$11), B134*(1+'Input Fee and Elasticity Inputs'!$B$12))))</f>
        <v>26265.6</v>
      </c>
      <c r="Y134" s="33">
        <f t="shared" si="10"/>
        <v>8.07</v>
      </c>
      <c r="Z134" s="33">
        <f t="shared" si="11"/>
        <v>211963.392</v>
      </c>
      <c r="AA134" s="33">
        <f t="shared" si="12"/>
        <v>-11155.968</v>
      </c>
    </row>
    <row r="135">
      <c r="A135" s="3" t="s">
        <v>142</v>
      </c>
      <c r="B135" s="4">
        <v>27432.0</v>
      </c>
      <c r="C135" s="5">
        <v>7.0</v>
      </c>
      <c r="D135" s="5">
        <v>18.0</v>
      </c>
      <c r="E135" s="6">
        <v>0.45</v>
      </c>
      <c r="F135" s="7">
        <v>25.0</v>
      </c>
      <c r="G135" s="6">
        <v>0.3</v>
      </c>
      <c r="H135" s="8">
        <v>0.1256</v>
      </c>
      <c r="I135" s="8">
        <v>0.014325890844</v>
      </c>
      <c r="J135" s="9">
        <v>22.0</v>
      </c>
      <c r="K135" s="29" t="str">
        <f t="shared" si="1"/>
        <v>SMB</v>
      </c>
      <c r="L135" s="30">
        <f t="shared" si="2"/>
        <v>7.5</v>
      </c>
      <c r="M135" s="31">
        <f>PERCENTRANK(B$3:B$202,B135)*'Input Resturant Brands Scoring '!$B$3</f>
        <v>11.795</v>
      </c>
      <c r="N135" s="32">
        <f>(1-PERCENTRANK(J$3:J$202,J135))*'Input Resturant Brands Scoring '!$B$5</f>
        <v>3.078</v>
      </c>
      <c r="O135" s="31">
        <f>(1-PERCENTRANK(I$3:I$202,I135))*'Input Resturant Brands Scoring '!$B$6</f>
        <v>9.348</v>
      </c>
      <c r="P135" s="31">
        <f t="shared" si="3"/>
        <v>12.426</v>
      </c>
      <c r="Q135" s="31">
        <f>PERCENTRANK(L$3:L$202,L135)*'Input Resturant Brands Scoring '!$B$7</f>
        <v>30.94</v>
      </c>
      <c r="R135" s="31">
        <f t="shared" si="4"/>
        <v>55.161</v>
      </c>
      <c r="S135" s="12">
        <f t="shared" si="5"/>
        <v>75</v>
      </c>
      <c r="T135" s="12" t="str">
        <f t="shared" si="13"/>
        <v>B</v>
      </c>
      <c r="U135" s="33">
        <f t="shared" si="7"/>
        <v>205740</v>
      </c>
      <c r="V135" s="13">
        <f t="shared" si="8"/>
        <v>0.3</v>
      </c>
      <c r="W135" s="34">
        <f t="shared" si="9"/>
        <v>0</v>
      </c>
      <c r="X135" s="4">
        <f>IF(T135="S", B135*(1+'Input Fee and Elasticity Inputs'!$B$9), IF(T135="A", B135*(1+'Input Fee and Elasticity Inputs'!$B$10), IF(T135="B", B135*(1+'Input Fee and Elasticity Inputs'!$B$11), B135*(1+'Input Fee and Elasticity Inputs'!$B$12))))</f>
        <v>26060.4</v>
      </c>
      <c r="Y135" s="33">
        <f t="shared" si="10"/>
        <v>7.5</v>
      </c>
      <c r="Z135" s="33">
        <f t="shared" si="11"/>
        <v>195453</v>
      </c>
      <c r="AA135" s="33">
        <f t="shared" si="12"/>
        <v>-10287</v>
      </c>
    </row>
    <row r="136">
      <c r="A136" s="3" t="s">
        <v>143</v>
      </c>
      <c r="B136" s="4">
        <v>27300.0</v>
      </c>
      <c r="C136" s="5">
        <v>8.0</v>
      </c>
      <c r="D136" s="5">
        <v>44.0</v>
      </c>
      <c r="E136" s="6">
        <v>0.05</v>
      </c>
      <c r="F136" s="7">
        <v>16.2</v>
      </c>
      <c r="G136" s="6">
        <v>0.28</v>
      </c>
      <c r="H136" s="8">
        <v>0.0212</v>
      </c>
      <c r="I136" s="8">
        <v>0.021603512015999998</v>
      </c>
      <c r="J136" s="9">
        <v>5.0</v>
      </c>
      <c r="K136" s="29" t="str">
        <f t="shared" si="1"/>
        <v>SMB</v>
      </c>
      <c r="L136" s="30">
        <f t="shared" si="2"/>
        <v>4.536</v>
      </c>
      <c r="M136" s="31">
        <f>PERCENTRANK(B$3:B$202,B136)*'Input Resturant Brands Scoring '!$B$3</f>
        <v>11.62</v>
      </c>
      <c r="N136" s="32">
        <f>(1-PERCENTRANK(J$3:J$202,J136))*'Input Resturant Brands Scoring '!$B$5</f>
        <v>15.462</v>
      </c>
      <c r="O136" s="31">
        <f>(1-PERCENTRANK(I$3:I$202,I136))*'Input Resturant Brands Scoring '!$B$6</f>
        <v>4.704</v>
      </c>
      <c r="P136" s="31">
        <f t="shared" si="3"/>
        <v>20.166</v>
      </c>
      <c r="Q136" s="31">
        <f>PERCENTRANK(L$3:L$202,L136)*'Input Resturant Brands Scoring '!$B$7</f>
        <v>7.91</v>
      </c>
      <c r="R136" s="31">
        <f t="shared" si="4"/>
        <v>39.696</v>
      </c>
      <c r="S136" s="12">
        <f t="shared" si="5"/>
        <v>149</v>
      </c>
      <c r="T136" s="12" t="str">
        <f t="shared" si="13"/>
        <v>B</v>
      </c>
      <c r="U136" s="33">
        <f t="shared" si="7"/>
        <v>123832.8</v>
      </c>
      <c r="V136" s="13">
        <f t="shared" si="8"/>
        <v>0.3</v>
      </c>
      <c r="W136" s="34">
        <f t="shared" si="9"/>
        <v>0.02</v>
      </c>
      <c r="X136" s="4">
        <f>IF(T136="S", B136*(1+'Input Fee and Elasticity Inputs'!$B$9), IF(T136="A", B136*(1+'Input Fee and Elasticity Inputs'!$B$10), IF(T136="B", B136*(1+'Input Fee and Elasticity Inputs'!$B$11), B136*(1+'Input Fee and Elasticity Inputs'!$B$12))))</f>
        <v>25935</v>
      </c>
      <c r="Y136" s="33">
        <f t="shared" si="10"/>
        <v>4.86</v>
      </c>
      <c r="Z136" s="33">
        <f t="shared" si="11"/>
        <v>126044.1</v>
      </c>
      <c r="AA136" s="33">
        <f t="shared" si="12"/>
        <v>2211.3</v>
      </c>
    </row>
    <row r="137">
      <c r="A137" s="3" t="s">
        <v>144</v>
      </c>
      <c r="B137" s="4">
        <v>27216.0</v>
      </c>
      <c r="C137" s="5">
        <v>8.0</v>
      </c>
      <c r="D137" s="5">
        <v>15.0</v>
      </c>
      <c r="E137" s="6">
        <v>0.54</v>
      </c>
      <c r="F137" s="7">
        <v>27.9</v>
      </c>
      <c r="G137" s="6">
        <v>0.29</v>
      </c>
      <c r="H137" s="8">
        <v>0.0556</v>
      </c>
      <c r="I137" s="8">
        <v>0.016650268776</v>
      </c>
      <c r="J137" s="9">
        <v>10.0</v>
      </c>
      <c r="K137" s="29" t="str">
        <f t="shared" si="1"/>
        <v>SMB</v>
      </c>
      <c r="L137" s="30">
        <f t="shared" si="2"/>
        <v>8.091</v>
      </c>
      <c r="M137" s="31">
        <f>PERCENTRANK(B$3:B$202,B137)*'Input Resturant Brands Scoring '!$B$3</f>
        <v>11.445</v>
      </c>
      <c r="N137" s="32">
        <f>(1-PERCENTRANK(J$3:J$202,J137))*'Input Resturant Brands Scoring '!$B$5</f>
        <v>9.054</v>
      </c>
      <c r="O137" s="31">
        <f>(1-PERCENTRANK(I$3:I$202,I137))*'Input Resturant Brands Scoring '!$B$6</f>
        <v>7.296</v>
      </c>
      <c r="P137" s="31">
        <f t="shared" si="3"/>
        <v>16.35</v>
      </c>
      <c r="Q137" s="31">
        <f>PERCENTRANK(L$3:L$202,L137)*'Input Resturant Brands Scoring '!$B$7</f>
        <v>33.075</v>
      </c>
      <c r="R137" s="31">
        <f t="shared" si="4"/>
        <v>60.87</v>
      </c>
      <c r="S137" s="12">
        <f t="shared" si="5"/>
        <v>52</v>
      </c>
      <c r="T137" s="12" t="str">
        <f t="shared" si="13"/>
        <v>B</v>
      </c>
      <c r="U137" s="33">
        <f t="shared" si="7"/>
        <v>220204.656</v>
      </c>
      <c r="V137" s="13">
        <f t="shared" si="8"/>
        <v>0.3</v>
      </c>
      <c r="W137" s="34">
        <f t="shared" si="9"/>
        <v>0.01</v>
      </c>
      <c r="X137" s="4">
        <f>IF(T137="S", B137*(1+'Input Fee and Elasticity Inputs'!$B$9), IF(T137="A", B137*(1+'Input Fee and Elasticity Inputs'!$B$10), IF(T137="B", B137*(1+'Input Fee and Elasticity Inputs'!$B$11), B137*(1+'Input Fee and Elasticity Inputs'!$B$12))))</f>
        <v>25855.2</v>
      </c>
      <c r="Y137" s="33">
        <f t="shared" si="10"/>
        <v>8.37</v>
      </c>
      <c r="Z137" s="33">
        <f t="shared" si="11"/>
        <v>216408.024</v>
      </c>
      <c r="AA137" s="33">
        <f t="shared" si="12"/>
        <v>-3796.632</v>
      </c>
    </row>
    <row r="138">
      <c r="A138" s="3" t="s">
        <v>145</v>
      </c>
      <c r="B138" s="4">
        <v>26352.0</v>
      </c>
      <c r="C138" s="5">
        <v>8.0</v>
      </c>
      <c r="D138" s="5">
        <v>38.0</v>
      </c>
      <c r="E138" s="6">
        <v>0.35</v>
      </c>
      <c r="F138" s="7">
        <v>18.9</v>
      </c>
      <c r="G138" s="6">
        <v>0.29</v>
      </c>
      <c r="H138" s="8">
        <v>0.0584</v>
      </c>
      <c r="I138" s="8">
        <v>0.021098070599999998</v>
      </c>
      <c r="J138" s="9">
        <v>9.0</v>
      </c>
      <c r="K138" s="29" t="str">
        <f t="shared" si="1"/>
        <v>SMB</v>
      </c>
      <c r="L138" s="30">
        <f t="shared" si="2"/>
        <v>5.481</v>
      </c>
      <c r="M138" s="31">
        <f>PERCENTRANK(B$3:B$202,B138)*'Input Resturant Brands Scoring '!$B$3</f>
        <v>11.27</v>
      </c>
      <c r="N138" s="32">
        <f>(1-PERCENTRANK(J$3:J$202,J138))*'Input Resturant Brands Scoring '!$B$5</f>
        <v>10.044</v>
      </c>
      <c r="O138" s="31">
        <f>(1-PERCENTRANK(I$3:I$202,I138))*'Input Resturant Brands Scoring '!$B$6</f>
        <v>4.824</v>
      </c>
      <c r="P138" s="31">
        <f t="shared" si="3"/>
        <v>14.868</v>
      </c>
      <c r="Q138" s="31">
        <f>PERCENTRANK(L$3:L$202,L138)*'Input Resturant Brands Scoring '!$B$7</f>
        <v>18.655</v>
      </c>
      <c r="R138" s="31">
        <f t="shared" si="4"/>
        <v>44.793</v>
      </c>
      <c r="S138" s="12">
        <f t="shared" si="5"/>
        <v>133</v>
      </c>
      <c r="T138" s="12" t="str">
        <f t="shared" si="13"/>
        <v>B</v>
      </c>
      <c r="U138" s="33">
        <f t="shared" si="7"/>
        <v>144435.312</v>
      </c>
      <c r="V138" s="13">
        <f t="shared" si="8"/>
        <v>0.3</v>
      </c>
      <c r="W138" s="34">
        <f t="shared" si="9"/>
        <v>0.01</v>
      </c>
      <c r="X138" s="4">
        <f>IF(T138="S", B138*(1+'Input Fee and Elasticity Inputs'!$B$9), IF(T138="A", B138*(1+'Input Fee and Elasticity Inputs'!$B$10), IF(T138="B", B138*(1+'Input Fee and Elasticity Inputs'!$B$11), B138*(1+'Input Fee and Elasticity Inputs'!$B$12))))</f>
        <v>25034.4</v>
      </c>
      <c r="Y138" s="33">
        <f t="shared" si="10"/>
        <v>5.67</v>
      </c>
      <c r="Z138" s="33">
        <f t="shared" si="11"/>
        <v>141945.048</v>
      </c>
      <c r="AA138" s="33">
        <f t="shared" si="12"/>
        <v>-2490.264</v>
      </c>
    </row>
    <row r="139">
      <c r="A139" s="3" t="s">
        <v>146</v>
      </c>
      <c r="B139" s="4">
        <v>26160.0</v>
      </c>
      <c r="C139" s="5">
        <v>7.0</v>
      </c>
      <c r="D139" s="5">
        <v>16.0</v>
      </c>
      <c r="E139" s="6">
        <v>0.93</v>
      </c>
      <c r="F139" s="7">
        <v>22.2</v>
      </c>
      <c r="G139" s="6">
        <v>0.3</v>
      </c>
      <c r="H139" s="8">
        <v>0.082</v>
      </c>
      <c r="I139" s="8">
        <v>0.014848584809999999</v>
      </c>
      <c r="J139" s="9">
        <v>8.0</v>
      </c>
      <c r="K139" s="29" t="str">
        <f t="shared" si="1"/>
        <v>SMB</v>
      </c>
      <c r="L139" s="30">
        <f t="shared" si="2"/>
        <v>6.66</v>
      </c>
      <c r="M139" s="31">
        <f>PERCENTRANK(B$3:B$202,B139)*'Input Resturant Brands Scoring '!$B$3</f>
        <v>11.095</v>
      </c>
      <c r="N139" s="32">
        <f>(1-PERCENTRANK(J$3:J$202,J139))*'Input Resturant Brands Scoring '!$B$5</f>
        <v>11.574</v>
      </c>
      <c r="O139" s="31">
        <f>(1-PERCENTRANK(I$3:I$202,I139))*'Input Resturant Brands Scoring '!$B$6</f>
        <v>8.748</v>
      </c>
      <c r="P139" s="31">
        <f t="shared" si="3"/>
        <v>20.322</v>
      </c>
      <c r="Q139" s="31">
        <f>PERCENTRANK(L$3:L$202,L139)*'Input Resturant Brands Scoring '!$B$7</f>
        <v>27.09</v>
      </c>
      <c r="R139" s="31">
        <f t="shared" si="4"/>
        <v>58.507</v>
      </c>
      <c r="S139" s="12">
        <f t="shared" si="5"/>
        <v>58</v>
      </c>
      <c r="T139" s="12" t="str">
        <f t="shared" si="13"/>
        <v>B</v>
      </c>
      <c r="U139" s="33">
        <f t="shared" si="7"/>
        <v>174225.6</v>
      </c>
      <c r="V139" s="13">
        <f t="shared" si="8"/>
        <v>0.3</v>
      </c>
      <c r="W139" s="34">
        <f t="shared" si="9"/>
        <v>0</v>
      </c>
      <c r="X139" s="4">
        <f>IF(T139="S", B139*(1+'Input Fee and Elasticity Inputs'!$B$9), IF(T139="A", B139*(1+'Input Fee and Elasticity Inputs'!$B$10), IF(T139="B", B139*(1+'Input Fee and Elasticity Inputs'!$B$11), B139*(1+'Input Fee and Elasticity Inputs'!$B$12))))</f>
        <v>24852</v>
      </c>
      <c r="Y139" s="33">
        <f t="shared" si="10"/>
        <v>6.66</v>
      </c>
      <c r="Z139" s="33">
        <f t="shared" si="11"/>
        <v>165514.32</v>
      </c>
      <c r="AA139" s="33">
        <f t="shared" si="12"/>
        <v>-8711.28</v>
      </c>
    </row>
    <row r="140">
      <c r="A140" s="3" t="s">
        <v>147</v>
      </c>
      <c r="B140" s="4">
        <v>26052.0</v>
      </c>
      <c r="C140" s="5">
        <v>8.0</v>
      </c>
      <c r="D140" s="5">
        <v>9.0</v>
      </c>
      <c r="E140" s="6">
        <v>0.19</v>
      </c>
      <c r="F140" s="7">
        <v>17.3</v>
      </c>
      <c r="G140" s="6">
        <v>0.28</v>
      </c>
      <c r="H140" s="8">
        <v>0.2052</v>
      </c>
      <c r="I140" s="8">
        <v>0.022229953038</v>
      </c>
      <c r="J140" s="9">
        <v>7.0</v>
      </c>
      <c r="K140" s="29" t="str">
        <f t="shared" si="1"/>
        <v>SMB</v>
      </c>
      <c r="L140" s="30">
        <f t="shared" si="2"/>
        <v>4.844</v>
      </c>
      <c r="M140" s="31">
        <f>PERCENTRANK(B$3:B$202,B140)*'Input Resturant Brands Scoring '!$B$3</f>
        <v>10.92</v>
      </c>
      <c r="N140" s="32">
        <f>(1-PERCENTRANK(J$3:J$202,J140))*'Input Resturant Brands Scoring '!$B$5</f>
        <v>12.204</v>
      </c>
      <c r="O140" s="31">
        <f>(1-PERCENTRANK(I$3:I$202,I140))*'Input Resturant Brands Scoring '!$B$6</f>
        <v>4.404</v>
      </c>
      <c r="P140" s="31">
        <f t="shared" si="3"/>
        <v>16.608</v>
      </c>
      <c r="Q140" s="31">
        <f>PERCENTRANK(L$3:L$202,L140)*'Input Resturant Brands Scoring '!$B$7</f>
        <v>11.795</v>
      </c>
      <c r="R140" s="31">
        <f t="shared" si="4"/>
        <v>39.323</v>
      </c>
      <c r="S140" s="12">
        <f t="shared" si="5"/>
        <v>151</v>
      </c>
      <c r="T140" s="12" t="str">
        <f t="shared" si="13"/>
        <v>C</v>
      </c>
      <c r="U140" s="33">
        <f t="shared" si="7"/>
        <v>126195.888</v>
      </c>
      <c r="V140" s="13">
        <f t="shared" si="8"/>
        <v>0.3</v>
      </c>
      <c r="W140" s="34">
        <f t="shared" si="9"/>
        <v>0.02</v>
      </c>
      <c r="X140" s="4">
        <f>IF(T140="S", B140*(1+'Input Fee and Elasticity Inputs'!$B$9), IF(T140="A", B140*(1+'Input Fee and Elasticity Inputs'!$B$10), IF(T140="B", B140*(1+'Input Fee and Elasticity Inputs'!$B$11), B140*(1+'Input Fee and Elasticity Inputs'!$B$12))))</f>
        <v>22144.2</v>
      </c>
      <c r="Y140" s="33">
        <f t="shared" si="10"/>
        <v>5.19</v>
      </c>
      <c r="Z140" s="33">
        <f t="shared" si="11"/>
        <v>114928.398</v>
      </c>
      <c r="AA140" s="33">
        <f t="shared" si="12"/>
        <v>-11267.49</v>
      </c>
    </row>
    <row r="141">
      <c r="A141" s="3" t="s">
        <v>148</v>
      </c>
      <c r="B141" s="4">
        <v>25872.0</v>
      </c>
      <c r="C141" s="5">
        <v>8.0</v>
      </c>
      <c r="D141" s="5">
        <v>10.0</v>
      </c>
      <c r="E141" s="6">
        <v>0.3</v>
      </c>
      <c r="F141" s="7">
        <v>19.5</v>
      </c>
      <c r="G141" s="6">
        <v>0.28</v>
      </c>
      <c r="H141" s="8">
        <v>0.0464</v>
      </c>
      <c r="I141" s="8">
        <v>0.014290978523999999</v>
      </c>
      <c r="J141" s="9">
        <v>13.0</v>
      </c>
      <c r="K141" s="29" t="str">
        <f t="shared" si="1"/>
        <v>SMB</v>
      </c>
      <c r="L141" s="30">
        <f t="shared" si="2"/>
        <v>5.46</v>
      </c>
      <c r="M141" s="31">
        <f>PERCENTRANK(B$3:B$202,B141)*'Input Resturant Brands Scoring '!$B$3</f>
        <v>10.745</v>
      </c>
      <c r="N141" s="32">
        <f>(1-PERCENTRANK(J$3:J$202,J141))*'Input Resturant Brands Scoring '!$B$5</f>
        <v>7.056</v>
      </c>
      <c r="O141" s="31">
        <f>(1-PERCENTRANK(I$3:I$202,I141))*'Input Resturant Brands Scoring '!$B$6</f>
        <v>9.528</v>
      </c>
      <c r="P141" s="31">
        <f t="shared" si="3"/>
        <v>16.584</v>
      </c>
      <c r="Q141" s="31">
        <f>PERCENTRANK(L$3:L$202,L141)*'Input Resturant Brands Scoring '!$B$7</f>
        <v>18.48</v>
      </c>
      <c r="R141" s="31">
        <f t="shared" si="4"/>
        <v>45.809</v>
      </c>
      <c r="S141" s="12">
        <f t="shared" si="5"/>
        <v>131</v>
      </c>
      <c r="T141" s="12" t="str">
        <f t="shared" si="13"/>
        <v>B</v>
      </c>
      <c r="U141" s="33">
        <f t="shared" si="7"/>
        <v>141261.12</v>
      </c>
      <c r="V141" s="13">
        <f t="shared" si="8"/>
        <v>0.3</v>
      </c>
      <c r="W141" s="34">
        <f t="shared" si="9"/>
        <v>0.02</v>
      </c>
      <c r="X141" s="4">
        <f>IF(T141="S", B141*(1+'Input Fee and Elasticity Inputs'!$B$9), IF(T141="A", B141*(1+'Input Fee and Elasticity Inputs'!$B$10), IF(T141="B", B141*(1+'Input Fee and Elasticity Inputs'!$B$11), B141*(1+'Input Fee and Elasticity Inputs'!$B$12))))</f>
        <v>24578.4</v>
      </c>
      <c r="Y141" s="33">
        <f t="shared" si="10"/>
        <v>5.85</v>
      </c>
      <c r="Z141" s="33">
        <f t="shared" si="11"/>
        <v>143783.64</v>
      </c>
      <c r="AA141" s="33">
        <f t="shared" si="12"/>
        <v>2522.52</v>
      </c>
    </row>
    <row r="142">
      <c r="A142" s="3" t="s">
        <v>149</v>
      </c>
      <c r="B142" s="4">
        <v>25380.0</v>
      </c>
      <c r="C142" s="5">
        <v>7.0</v>
      </c>
      <c r="D142" s="5">
        <v>23.0</v>
      </c>
      <c r="E142" s="6">
        <v>0.97</v>
      </c>
      <c r="F142" s="7">
        <v>21.1</v>
      </c>
      <c r="G142" s="6">
        <v>0.3</v>
      </c>
      <c r="H142" s="8">
        <v>0.036</v>
      </c>
      <c r="I142" s="8">
        <v>0.018355247238</v>
      </c>
      <c r="J142" s="9">
        <v>4.0</v>
      </c>
      <c r="K142" s="29" t="str">
        <f t="shared" si="1"/>
        <v>SMB</v>
      </c>
      <c r="L142" s="30">
        <f t="shared" si="2"/>
        <v>6.33</v>
      </c>
      <c r="M142" s="31">
        <f>PERCENTRANK(B$3:B$202,B142)*'Input Resturant Brands Scoring '!$B$3</f>
        <v>10.57</v>
      </c>
      <c r="N142" s="32">
        <f>(1-PERCENTRANK(J$3:J$202,J142))*'Input Resturant Brands Scoring '!$B$5</f>
        <v>17.1</v>
      </c>
      <c r="O142" s="31">
        <f>(1-PERCENTRANK(I$3:I$202,I142))*'Input Resturant Brands Scoring '!$B$6</f>
        <v>6.156</v>
      </c>
      <c r="P142" s="31">
        <f t="shared" si="3"/>
        <v>23.256</v>
      </c>
      <c r="Q142" s="31">
        <f>PERCENTRANK(L$3:L$202,L142)*'Input Resturant Brands Scoring '!$B$7</f>
        <v>25.165</v>
      </c>
      <c r="R142" s="31">
        <f t="shared" si="4"/>
        <v>58.991</v>
      </c>
      <c r="S142" s="12">
        <f t="shared" si="5"/>
        <v>56</v>
      </c>
      <c r="T142" s="12" t="str">
        <f t="shared" si="13"/>
        <v>B</v>
      </c>
      <c r="U142" s="33">
        <f t="shared" si="7"/>
        <v>160655.4</v>
      </c>
      <c r="V142" s="13">
        <f t="shared" si="8"/>
        <v>0.3</v>
      </c>
      <c r="W142" s="34">
        <f t="shared" si="9"/>
        <v>0</v>
      </c>
      <c r="X142" s="4">
        <f>IF(T142="S", B142*(1+'Input Fee and Elasticity Inputs'!$B$9), IF(T142="A", B142*(1+'Input Fee and Elasticity Inputs'!$B$10), IF(T142="B", B142*(1+'Input Fee and Elasticity Inputs'!$B$11), B142*(1+'Input Fee and Elasticity Inputs'!$B$12))))</f>
        <v>24111</v>
      </c>
      <c r="Y142" s="33">
        <f t="shared" si="10"/>
        <v>6.33</v>
      </c>
      <c r="Z142" s="33">
        <f t="shared" si="11"/>
        <v>152622.63</v>
      </c>
      <c r="AA142" s="33">
        <f t="shared" si="12"/>
        <v>-8032.77</v>
      </c>
    </row>
    <row r="143">
      <c r="A143" s="3" t="s">
        <v>150</v>
      </c>
      <c r="B143" s="4">
        <v>24768.0</v>
      </c>
      <c r="C143" s="5">
        <v>8.0</v>
      </c>
      <c r="D143" s="5">
        <v>11.0</v>
      </c>
      <c r="E143" s="6">
        <v>0.84</v>
      </c>
      <c r="F143" s="7">
        <v>36.3</v>
      </c>
      <c r="G143" s="6">
        <v>0.29</v>
      </c>
      <c r="H143" s="8">
        <v>0.0</v>
      </c>
      <c r="I143" s="8">
        <v>0.031041533118000002</v>
      </c>
      <c r="J143" s="9">
        <v>3.0</v>
      </c>
      <c r="K143" s="29" t="str">
        <f t="shared" si="1"/>
        <v>SMB</v>
      </c>
      <c r="L143" s="30">
        <f t="shared" si="2"/>
        <v>10.527</v>
      </c>
      <c r="M143" s="31">
        <f>PERCENTRANK(B$3:B$202,B143)*'Input Resturant Brands Scoring '!$B$3</f>
        <v>10.36</v>
      </c>
      <c r="N143" s="32">
        <f>(1-PERCENTRANK(J$3:J$202,J143))*'Input Resturant Brands Scoring '!$B$5</f>
        <v>18</v>
      </c>
      <c r="O143" s="31">
        <f>(1-PERCENTRANK(I$3:I$202,I143))*'Input Resturant Brands Scoring '!$B$6</f>
        <v>0.6</v>
      </c>
      <c r="P143" s="31">
        <f t="shared" si="3"/>
        <v>18.6</v>
      </c>
      <c r="Q143" s="31">
        <f>PERCENTRANK(L$3:L$202,L143)*'Input Resturant Brands Scoring '!$B$7</f>
        <v>35</v>
      </c>
      <c r="R143" s="31">
        <f t="shared" si="4"/>
        <v>63.96</v>
      </c>
      <c r="S143" s="12">
        <f t="shared" si="5"/>
        <v>39</v>
      </c>
      <c r="T143" s="12" t="str">
        <f t="shared" si="13"/>
        <v>A</v>
      </c>
      <c r="U143" s="33">
        <f t="shared" si="7"/>
        <v>260732.736</v>
      </c>
      <c r="V143" s="13">
        <f t="shared" si="8"/>
        <v>0.285</v>
      </c>
      <c r="W143" s="34">
        <f t="shared" si="9"/>
        <v>-0.005</v>
      </c>
      <c r="X143" s="4">
        <f>IF(T143="S", B143*(1+'Input Fee and Elasticity Inputs'!$B$9), IF(T143="A", B143*(1+'Input Fee and Elasticity Inputs'!$B$10), IF(T143="B", B143*(1+'Input Fee and Elasticity Inputs'!$B$11), B143*(1+'Input Fee and Elasticity Inputs'!$B$12))))</f>
        <v>27244.8</v>
      </c>
      <c r="Y143" s="33">
        <f t="shared" si="10"/>
        <v>10.3455</v>
      </c>
      <c r="Z143" s="33">
        <f t="shared" si="11"/>
        <v>281861.0784</v>
      </c>
      <c r="AA143" s="33">
        <f t="shared" si="12"/>
        <v>21128.3424</v>
      </c>
    </row>
    <row r="144">
      <c r="A144" s="3" t="s">
        <v>151</v>
      </c>
      <c r="B144" s="4">
        <v>24420.0</v>
      </c>
      <c r="C144" s="5">
        <v>8.0</v>
      </c>
      <c r="D144" s="5">
        <v>40.0</v>
      </c>
      <c r="E144" s="6">
        <v>0.55</v>
      </c>
      <c r="F144" s="7">
        <v>14.9</v>
      </c>
      <c r="G144" s="6">
        <v>0.23</v>
      </c>
      <c r="H144" s="8">
        <v>0.0212</v>
      </c>
      <c r="I144" s="8">
        <v>0.034744900038</v>
      </c>
      <c r="J144" s="9">
        <v>14.0</v>
      </c>
      <c r="K144" s="29" t="str">
        <f t="shared" si="1"/>
        <v>SMB</v>
      </c>
      <c r="L144" s="30">
        <f t="shared" si="2"/>
        <v>3.427</v>
      </c>
      <c r="M144" s="31">
        <f>PERCENTRANK(B$3:B$202,B144)*'Input Resturant Brands Scoring '!$B$3</f>
        <v>10.185</v>
      </c>
      <c r="N144" s="32">
        <f>(1-PERCENTRANK(J$3:J$202,J144))*'Input Resturant Brands Scoring '!$B$5</f>
        <v>6.426</v>
      </c>
      <c r="O144" s="31">
        <f>(1-PERCENTRANK(I$3:I$202,I144))*'Input Resturant Brands Scoring '!$B$6</f>
        <v>0</v>
      </c>
      <c r="P144" s="31">
        <f t="shared" si="3"/>
        <v>6.426</v>
      </c>
      <c r="Q144" s="31">
        <f>PERCENTRANK(L$3:L$202,L144)*'Input Resturant Brands Scoring '!$B$7</f>
        <v>1.05</v>
      </c>
      <c r="R144" s="31">
        <f t="shared" si="4"/>
        <v>17.661</v>
      </c>
      <c r="S144" s="12">
        <f t="shared" si="5"/>
        <v>198</v>
      </c>
      <c r="T144" s="12" t="str">
        <f t="shared" si="13"/>
        <v>C</v>
      </c>
      <c r="U144" s="33">
        <f t="shared" si="7"/>
        <v>83687.34</v>
      </c>
      <c r="V144" s="13">
        <f t="shared" si="8"/>
        <v>0.26</v>
      </c>
      <c r="W144" s="34">
        <f t="shared" si="9"/>
        <v>0.03</v>
      </c>
      <c r="X144" s="4">
        <f>IF(T144="S", B144*(1+'Input Fee and Elasticity Inputs'!$B$9), IF(T144="A", B144*(1+'Input Fee and Elasticity Inputs'!$B$10), IF(T144="B", B144*(1+'Input Fee and Elasticity Inputs'!$B$11), B144*(1+'Input Fee and Elasticity Inputs'!$B$12))))</f>
        <v>20757</v>
      </c>
      <c r="Y144" s="33">
        <f t="shared" si="10"/>
        <v>3.874</v>
      </c>
      <c r="Z144" s="33">
        <f t="shared" si="11"/>
        <v>80412.618</v>
      </c>
      <c r="AA144" s="33">
        <f t="shared" si="12"/>
        <v>-3274.722</v>
      </c>
    </row>
    <row r="145">
      <c r="A145" s="3" t="s">
        <v>152</v>
      </c>
      <c r="B145" s="4">
        <v>23616.0</v>
      </c>
      <c r="C145" s="5">
        <v>16.0</v>
      </c>
      <c r="D145" s="5">
        <v>20.0</v>
      </c>
      <c r="E145" s="6">
        <v>0.35</v>
      </c>
      <c r="F145" s="7">
        <v>19.4</v>
      </c>
      <c r="G145" s="6">
        <v>0.3</v>
      </c>
      <c r="H145" s="8">
        <v>0.0432</v>
      </c>
      <c r="I145" s="8">
        <v>0.013686874541999999</v>
      </c>
      <c r="J145" s="9">
        <v>8.0</v>
      </c>
      <c r="K145" s="29" t="str">
        <f t="shared" si="1"/>
        <v>SMB</v>
      </c>
      <c r="L145" s="30">
        <f t="shared" si="2"/>
        <v>5.82</v>
      </c>
      <c r="M145" s="31">
        <f>PERCENTRANK(B$3:B$202,B145)*'Input Resturant Brands Scoring '!$B$3</f>
        <v>10.01</v>
      </c>
      <c r="N145" s="32">
        <f>(1-PERCENTRANK(J$3:J$202,J145))*'Input Resturant Brands Scoring '!$B$5</f>
        <v>11.574</v>
      </c>
      <c r="O145" s="31">
        <f>(1-PERCENTRANK(I$3:I$202,I145))*'Input Resturant Brands Scoring '!$B$6</f>
        <v>10.428</v>
      </c>
      <c r="P145" s="31">
        <f t="shared" si="3"/>
        <v>22.002</v>
      </c>
      <c r="Q145" s="31">
        <f>PERCENTRANK(L$3:L$202,L145)*'Input Resturant Brands Scoring '!$B$7</f>
        <v>21.63</v>
      </c>
      <c r="R145" s="31">
        <f t="shared" si="4"/>
        <v>53.642</v>
      </c>
      <c r="S145" s="12">
        <f t="shared" si="5"/>
        <v>88</v>
      </c>
      <c r="T145" s="12" t="str">
        <f t="shared" si="13"/>
        <v>B</v>
      </c>
      <c r="U145" s="33">
        <f t="shared" si="7"/>
        <v>137445.12</v>
      </c>
      <c r="V145" s="13">
        <f t="shared" si="8"/>
        <v>0.3</v>
      </c>
      <c r="W145" s="34">
        <f t="shared" si="9"/>
        <v>0</v>
      </c>
      <c r="X145" s="4">
        <f>IF(T145="S", B145*(1+'Input Fee and Elasticity Inputs'!$B$9), IF(T145="A", B145*(1+'Input Fee and Elasticity Inputs'!$B$10), IF(T145="B", B145*(1+'Input Fee and Elasticity Inputs'!$B$11), B145*(1+'Input Fee and Elasticity Inputs'!$B$12))))</f>
        <v>22435.2</v>
      </c>
      <c r="Y145" s="33">
        <f t="shared" si="10"/>
        <v>5.82</v>
      </c>
      <c r="Z145" s="33">
        <f t="shared" si="11"/>
        <v>130572.864</v>
      </c>
      <c r="AA145" s="33">
        <f t="shared" si="12"/>
        <v>-6872.256</v>
      </c>
    </row>
    <row r="146">
      <c r="A146" s="3" t="s">
        <v>153</v>
      </c>
      <c r="B146" s="4">
        <v>21708.0</v>
      </c>
      <c r="C146" s="5">
        <v>7.0</v>
      </c>
      <c r="D146" s="5">
        <v>9.0</v>
      </c>
      <c r="E146" s="6">
        <v>0.37</v>
      </c>
      <c r="F146" s="7">
        <v>16.4</v>
      </c>
      <c r="G146" s="6">
        <v>0.27</v>
      </c>
      <c r="H146" s="8">
        <v>0.0392</v>
      </c>
      <c r="I146" s="8">
        <v>0.030804349457999997</v>
      </c>
      <c r="J146" s="9">
        <v>12.0</v>
      </c>
      <c r="K146" s="29" t="str">
        <f t="shared" si="1"/>
        <v>SMB</v>
      </c>
      <c r="L146" s="30">
        <f t="shared" si="2"/>
        <v>4.428</v>
      </c>
      <c r="M146" s="31">
        <f>PERCENTRANK(B$3:B$202,B146)*'Input Resturant Brands Scoring '!$B$3</f>
        <v>9.835</v>
      </c>
      <c r="N146" s="32">
        <f>(1-PERCENTRANK(J$3:J$202,J146))*'Input Resturant Brands Scoring '!$B$5</f>
        <v>7.326</v>
      </c>
      <c r="O146" s="31">
        <f>(1-PERCENTRANK(I$3:I$202,I146))*'Input Resturant Brands Scoring '!$B$6</f>
        <v>0.66</v>
      </c>
      <c r="P146" s="31">
        <f t="shared" si="3"/>
        <v>7.986</v>
      </c>
      <c r="Q146" s="31">
        <f>PERCENTRANK(L$3:L$202,L146)*'Input Resturant Brands Scoring '!$B$7</f>
        <v>7.385</v>
      </c>
      <c r="R146" s="31">
        <f t="shared" si="4"/>
        <v>25.206</v>
      </c>
      <c r="S146" s="12">
        <f t="shared" si="5"/>
        <v>192</v>
      </c>
      <c r="T146" s="12" t="str">
        <f t="shared" si="13"/>
        <v>C</v>
      </c>
      <c r="U146" s="33">
        <f t="shared" si="7"/>
        <v>96123.024</v>
      </c>
      <c r="V146" s="13">
        <f t="shared" si="8"/>
        <v>0.3</v>
      </c>
      <c r="W146" s="34">
        <f t="shared" si="9"/>
        <v>0.03</v>
      </c>
      <c r="X146" s="4">
        <f>IF(T146="S", B146*(1+'Input Fee and Elasticity Inputs'!$B$9), IF(T146="A", B146*(1+'Input Fee and Elasticity Inputs'!$B$10), IF(T146="B", B146*(1+'Input Fee and Elasticity Inputs'!$B$11), B146*(1+'Input Fee and Elasticity Inputs'!$B$12))))</f>
        <v>18451.8</v>
      </c>
      <c r="Y146" s="33">
        <f t="shared" si="10"/>
        <v>4.92</v>
      </c>
      <c r="Z146" s="33">
        <f t="shared" si="11"/>
        <v>90782.856</v>
      </c>
      <c r="AA146" s="33">
        <f t="shared" si="12"/>
        <v>-5340.168</v>
      </c>
    </row>
    <row r="147">
      <c r="A147" s="3" t="s">
        <v>154</v>
      </c>
      <c r="B147" s="4">
        <v>21600.0</v>
      </c>
      <c r="C147" s="5">
        <v>8.0</v>
      </c>
      <c r="D147" s="5">
        <v>13.0</v>
      </c>
      <c r="E147" s="6">
        <v>0.77</v>
      </c>
      <c r="F147" s="7">
        <v>18.1</v>
      </c>
      <c r="G147" s="6">
        <v>0.29</v>
      </c>
      <c r="H147" s="8">
        <v>0.0564</v>
      </c>
      <c r="I147" s="8">
        <v>0.017213501915999997</v>
      </c>
      <c r="J147" s="9">
        <v>9.0</v>
      </c>
      <c r="K147" s="29" t="str">
        <f t="shared" si="1"/>
        <v>SMB</v>
      </c>
      <c r="L147" s="30">
        <f t="shared" si="2"/>
        <v>5.249</v>
      </c>
      <c r="M147" s="31">
        <f>PERCENTRANK(B$3:B$202,B147)*'Input Resturant Brands Scoring '!$B$3</f>
        <v>9.66</v>
      </c>
      <c r="N147" s="32">
        <f>(1-PERCENTRANK(J$3:J$202,J147))*'Input Resturant Brands Scoring '!$B$5</f>
        <v>10.044</v>
      </c>
      <c r="O147" s="31">
        <f>(1-PERCENTRANK(I$3:I$202,I147))*'Input Resturant Brands Scoring '!$B$6</f>
        <v>6.936</v>
      </c>
      <c r="P147" s="31">
        <f t="shared" si="3"/>
        <v>16.98</v>
      </c>
      <c r="Q147" s="31">
        <f>PERCENTRANK(L$3:L$202,L147)*'Input Resturant Brands Scoring '!$B$7</f>
        <v>15.645</v>
      </c>
      <c r="R147" s="31">
        <f t="shared" si="4"/>
        <v>42.285</v>
      </c>
      <c r="S147" s="12">
        <f t="shared" si="5"/>
        <v>143</v>
      </c>
      <c r="T147" s="12" t="str">
        <f t="shared" si="13"/>
        <v>B</v>
      </c>
      <c r="U147" s="33">
        <f t="shared" si="7"/>
        <v>113378.4</v>
      </c>
      <c r="V147" s="13">
        <f t="shared" si="8"/>
        <v>0.3</v>
      </c>
      <c r="W147" s="34">
        <f t="shared" si="9"/>
        <v>0.01</v>
      </c>
      <c r="X147" s="4">
        <f>IF(T147="S", B147*(1+'Input Fee and Elasticity Inputs'!$B$9), IF(T147="A", B147*(1+'Input Fee and Elasticity Inputs'!$B$10), IF(T147="B", B147*(1+'Input Fee and Elasticity Inputs'!$B$11), B147*(1+'Input Fee and Elasticity Inputs'!$B$12))))</f>
        <v>20520</v>
      </c>
      <c r="Y147" s="33">
        <f t="shared" si="10"/>
        <v>5.43</v>
      </c>
      <c r="Z147" s="33">
        <f t="shared" si="11"/>
        <v>111423.6</v>
      </c>
      <c r="AA147" s="33">
        <f t="shared" si="12"/>
        <v>-1954.8</v>
      </c>
    </row>
    <row r="148">
      <c r="A148" s="3" t="s">
        <v>155</v>
      </c>
      <c r="B148" s="4">
        <v>20880.0</v>
      </c>
      <c r="C148" s="5">
        <v>8.0</v>
      </c>
      <c r="D148" s="5">
        <v>80.0</v>
      </c>
      <c r="E148" s="6">
        <v>0.56</v>
      </c>
      <c r="F148" s="7">
        <v>15.8</v>
      </c>
      <c r="G148" s="6">
        <v>0.3</v>
      </c>
      <c r="H148" s="8">
        <v>0.0896</v>
      </c>
      <c r="I148" s="8">
        <v>0.009831856206</v>
      </c>
      <c r="J148" s="9">
        <v>11.0</v>
      </c>
      <c r="K148" s="29" t="str">
        <f t="shared" si="1"/>
        <v>SMB</v>
      </c>
      <c r="L148" s="30">
        <f t="shared" si="2"/>
        <v>4.74</v>
      </c>
      <c r="M148" s="31">
        <f>PERCENTRANK(B$3:B$202,B148)*'Input Resturant Brands Scoring '!$B$3</f>
        <v>9.485</v>
      </c>
      <c r="N148" s="32">
        <f>(1-PERCENTRANK(J$3:J$202,J148))*'Input Resturant Brands Scoring '!$B$5</f>
        <v>8.136</v>
      </c>
      <c r="O148" s="31">
        <f>(1-PERCENTRANK(I$3:I$202,I148))*'Input Resturant Brands Scoring '!$B$6</f>
        <v>11.94</v>
      </c>
      <c r="P148" s="31">
        <f t="shared" si="3"/>
        <v>20.076</v>
      </c>
      <c r="Q148" s="31">
        <f>PERCENTRANK(L$3:L$202,L148)*'Input Resturant Brands Scoring '!$B$7</f>
        <v>10.185</v>
      </c>
      <c r="R148" s="31">
        <f t="shared" si="4"/>
        <v>39.746</v>
      </c>
      <c r="S148" s="12">
        <f t="shared" si="5"/>
        <v>148</v>
      </c>
      <c r="T148" s="12" t="str">
        <f t="shared" si="13"/>
        <v>B</v>
      </c>
      <c r="U148" s="33">
        <f t="shared" si="7"/>
        <v>98971.2</v>
      </c>
      <c r="V148" s="13">
        <f t="shared" si="8"/>
        <v>0.3</v>
      </c>
      <c r="W148" s="34">
        <f t="shared" si="9"/>
        <v>0</v>
      </c>
      <c r="X148" s="4">
        <f>IF(T148="S", B148*(1+'Input Fee and Elasticity Inputs'!$B$9), IF(T148="A", B148*(1+'Input Fee and Elasticity Inputs'!$B$10), IF(T148="B", B148*(1+'Input Fee and Elasticity Inputs'!$B$11), B148*(1+'Input Fee and Elasticity Inputs'!$B$12))))</f>
        <v>19836</v>
      </c>
      <c r="Y148" s="33">
        <f t="shared" si="10"/>
        <v>4.74</v>
      </c>
      <c r="Z148" s="33">
        <f t="shared" si="11"/>
        <v>94022.64</v>
      </c>
      <c r="AA148" s="33">
        <f t="shared" si="12"/>
        <v>-4948.56</v>
      </c>
    </row>
    <row r="149">
      <c r="A149" s="3" t="s">
        <v>156</v>
      </c>
      <c r="B149" s="4">
        <v>20808.0</v>
      </c>
      <c r="C149" s="5">
        <v>10.0</v>
      </c>
      <c r="D149" s="5">
        <v>11.0</v>
      </c>
      <c r="E149" s="6">
        <v>0.76</v>
      </c>
      <c r="F149" s="7">
        <v>20.1</v>
      </c>
      <c r="G149" s="6">
        <v>0.25</v>
      </c>
      <c r="H149" s="8">
        <v>0.0524</v>
      </c>
      <c r="I149" s="8">
        <v>0.034392262326</v>
      </c>
      <c r="J149" s="9">
        <v>10.0</v>
      </c>
      <c r="K149" s="29" t="str">
        <f t="shared" si="1"/>
        <v>SMB</v>
      </c>
      <c r="L149" s="30">
        <f t="shared" si="2"/>
        <v>5.025</v>
      </c>
      <c r="M149" s="31">
        <f>PERCENTRANK(B$3:B$202,B149)*'Input Resturant Brands Scoring '!$B$3</f>
        <v>9.31</v>
      </c>
      <c r="N149" s="32">
        <f>(1-PERCENTRANK(J$3:J$202,J149))*'Input Resturant Brands Scoring '!$B$5</f>
        <v>9.054</v>
      </c>
      <c r="O149" s="31">
        <f>(1-PERCENTRANK(I$3:I$202,I149))*'Input Resturant Brands Scoring '!$B$6</f>
        <v>0.06</v>
      </c>
      <c r="P149" s="31">
        <f t="shared" si="3"/>
        <v>9.114</v>
      </c>
      <c r="Q149" s="31">
        <f>PERCENTRANK(L$3:L$202,L149)*'Input Resturant Brands Scoring '!$B$7</f>
        <v>12.845</v>
      </c>
      <c r="R149" s="31">
        <f t="shared" si="4"/>
        <v>31.269</v>
      </c>
      <c r="S149" s="12">
        <f t="shared" si="5"/>
        <v>180</v>
      </c>
      <c r="T149" s="12" t="str">
        <f t="shared" si="13"/>
        <v>C</v>
      </c>
      <c r="U149" s="33">
        <f t="shared" si="7"/>
        <v>104560.2</v>
      </c>
      <c r="V149" s="13">
        <f t="shared" si="8"/>
        <v>0.28</v>
      </c>
      <c r="W149" s="34">
        <f t="shared" si="9"/>
        <v>0.03</v>
      </c>
      <c r="X149" s="4">
        <f>IF(T149="S", B149*(1+'Input Fee and Elasticity Inputs'!$B$9), IF(T149="A", B149*(1+'Input Fee and Elasticity Inputs'!$B$10), IF(T149="B", B149*(1+'Input Fee and Elasticity Inputs'!$B$11), B149*(1+'Input Fee and Elasticity Inputs'!$B$12))))</f>
        <v>17686.8</v>
      </c>
      <c r="Y149" s="33">
        <f t="shared" si="10"/>
        <v>5.628</v>
      </c>
      <c r="Z149" s="33">
        <f t="shared" si="11"/>
        <v>99541.3104</v>
      </c>
      <c r="AA149" s="33">
        <f t="shared" si="12"/>
        <v>-5018.8896</v>
      </c>
    </row>
    <row r="150">
      <c r="A150" s="3" t="s">
        <v>157</v>
      </c>
      <c r="B150" s="4">
        <v>20448.0</v>
      </c>
      <c r="C150" s="5">
        <v>8.0</v>
      </c>
      <c r="D150" s="5">
        <v>10.0</v>
      </c>
      <c r="E150" s="6">
        <v>0.03</v>
      </c>
      <c r="F150" s="7">
        <v>26.4</v>
      </c>
      <c r="G150" s="6">
        <v>0.25</v>
      </c>
      <c r="H150" s="8">
        <v>0.0532</v>
      </c>
      <c r="I150" s="8">
        <v>0.01781536725</v>
      </c>
      <c r="J150" s="9">
        <v>34.0</v>
      </c>
      <c r="K150" s="29" t="str">
        <f t="shared" si="1"/>
        <v>SMB</v>
      </c>
      <c r="L150" s="30">
        <f t="shared" si="2"/>
        <v>6.6</v>
      </c>
      <c r="M150" s="31">
        <f>PERCENTRANK(B$3:B$202,B150)*'Input Resturant Brands Scoring '!$B$3</f>
        <v>9.135</v>
      </c>
      <c r="N150" s="32">
        <f>(1-PERCENTRANK(J$3:J$202,J150))*'Input Resturant Brands Scoring '!$B$5</f>
        <v>1.08</v>
      </c>
      <c r="O150" s="31">
        <f>(1-PERCENTRANK(I$3:I$202,I150))*'Input Resturant Brands Scoring '!$B$6</f>
        <v>6.396</v>
      </c>
      <c r="P150" s="31">
        <f t="shared" si="3"/>
        <v>7.476</v>
      </c>
      <c r="Q150" s="31">
        <f>PERCENTRANK(L$3:L$202,L150)*'Input Resturant Brands Scoring '!$B$7</f>
        <v>26.39</v>
      </c>
      <c r="R150" s="31">
        <f t="shared" si="4"/>
        <v>43.001</v>
      </c>
      <c r="S150" s="12">
        <f t="shared" si="5"/>
        <v>140</v>
      </c>
      <c r="T150" s="12" t="str">
        <f t="shared" si="13"/>
        <v>B</v>
      </c>
      <c r="U150" s="33">
        <f t="shared" si="7"/>
        <v>134956.8</v>
      </c>
      <c r="V150" s="13">
        <f t="shared" si="8"/>
        <v>0.27</v>
      </c>
      <c r="W150" s="34">
        <f t="shared" si="9"/>
        <v>0.02</v>
      </c>
      <c r="X150" s="4">
        <f>IF(T150="S", B150*(1+'Input Fee and Elasticity Inputs'!$B$9), IF(T150="A", B150*(1+'Input Fee and Elasticity Inputs'!$B$10), IF(T150="B", B150*(1+'Input Fee and Elasticity Inputs'!$B$11), B150*(1+'Input Fee and Elasticity Inputs'!$B$12))))</f>
        <v>19425.6</v>
      </c>
      <c r="Y150" s="33">
        <f t="shared" si="10"/>
        <v>7.128</v>
      </c>
      <c r="Z150" s="33">
        <f t="shared" si="11"/>
        <v>138465.6768</v>
      </c>
      <c r="AA150" s="33">
        <f t="shared" si="12"/>
        <v>3508.8768</v>
      </c>
    </row>
    <row r="151">
      <c r="A151" s="3" t="s">
        <v>158</v>
      </c>
      <c r="B151" s="4">
        <v>19872.0</v>
      </c>
      <c r="C151" s="5">
        <v>14.0</v>
      </c>
      <c r="D151" s="5">
        <v>16.0</v>
      </c>
      <c r="E151" s="6">
        <v>0.88</v>
      </c>
      <c r="F151" s="7">
        <v>20.9</v>
      </c>
      <c r="G151" s="6">
        <v>0.29</v>
      </c>
      <c r="H151" s="8">
        <v>0.0592</v>
      </c>
      <c r="I151" s="8">
        <v>0.014158759902</v>
      </c>
      <c r="J151" s="9">
        <v>16.0</v>
      </c>
      <c r="K151" s="29" t="str">
        <f t="shared" si="1"/>
        <v>SMB</v>
      </c>
      <c r="L151" s="30">
        <f t="shared" si="2"/>
        <v>6.061</v>
      </c>
      <c r="M151" s="31">
        <f>PERCENTRANK(B$3:B$202,B151)*'Input Resturant Brands Scoring '!$B$3</f>
        <v>8.96</v>
      </c>
      <c r="N151" s="32">
        <f>(1-PERCENTRANK(J$3:J$202,J151))*'Input Resturant Brands Scoring '!$B$5</f>
        <v>5.148</v>
      </c>
      <c r="O151" s="31">
        <f>(1-PERCENTRANK(I$3:I$202,I151))*'Input Resturant Brands Scoring '!$B$6</f>
        <v>9.708</v>
      </c>
      <c r="P151" s="31">
        <f t="shared" si="3"/>
        <v>14.856</v>
      </c>
      <c r="Q151" s="31">
        <f>PERCENTRANK(L$3:L$202,L151)*'Input Resturant Brands Scoring '!$B$7</f>
        <v>23.555</v>
      </c>
      <c r="R151" s="31">
        <f t="shared" si="4"/>
        <v>47.371</v>
      </c>
      <c r="S151" s="12">
        <f t="shared" si="5"/>
        <v>120</v>
      </c>
      <c r="T151" s="12" t="str">
        <f t="shared" si="13"/>
        <v>B</v>
      </c>
      <c r="U151" s="33">
        <f t="shared" si="7"/>
        <v>120444.192</v>
      </c>
      <c r="V151" s="13">
        <f t="shared" si="8"/>
        <v>0.3</v>
      </c>
      <c r="W151" s="34">
        <f t="shared" si="9"/>
        <v>0.01</v>
      </c>
      <c r="X151" s="4">
        <f>IF(T151="S", B151*(1+'Input Fee and Elasticity Inputs'!$B$9), IF(T151="A", B151*(1+'Input Fee and Elasticity Inputs'!$B$10), IF(T151="B", B151*(1+'Input Fee and Elasticity Inputs'!$B$11), B151*(1+'Input Fee and Elasticity Inputs'!$B$12))))</f>
        <v>18878.4</v>
      </c>
      <c r="Y151" s="33">
        <f t="shared" si="10"/>
        <v>6.27</v>
      </c>
      <c r="Z151" s="33">
        <f t="shared" si="11"/>
        <v>118367.568</v>
      </c>
      <c r="AA151" s="33">
        <f t="shared" si="12"/>
        <v>-2076.624</v>
      </c>
    </row>
    <row r="152">
      <c r="A152" s="3" t="s">
        <v>159</v>
      </c>
      <c r="B152" s="4">
        <v>19824.0</v>
      </c>
      <c r="C152" s="5">
        <v>6.0</v>
      </c>
      <c r="D152" s="5">
        <v>7.0</v>
      </c>
      <c r="E152" s="6">
        <v>0.3</v>
      </c>
      <c r="F152" s="7">
        <v>23.7</v>
      </c>
      <c r="G152" s="6">
        <v>0.27</v>
      </c>
      <c r="H152" s="8">
        <v>0.074</v>
      </c>
      <c r="I152" s="8">
        <v>0.019642969782</v>
      </c>
      <c r="J152" s="9">
        <v>4.0</v>
      </c>
      <c r="K152" s="29" t="str">
        <f t="shared" si="1"/>
        <v>SMB</v>
      </c>
      <c r="L152" s="30">
        <f t="shared" si="2"/>
        <v>6.399</v>
      </c>
      <c r="M152" s="31">
        <f>PERCENTRANK(B$3:B$202,B152)*'Input Resturant Brands Scoring '!$B$3</f>
        <v>8.785</v>
      </c>
      <c r="N152" s="32">
        <f>(1-PERCENTRANK(J$3:J$202,J152))*'Input Resturant Brands Scoring '!$B$5</f>
        <v>17.1</v>
      </c>
      <c r="O152" s="31">
        <f>(1-PERCENTRANK(I$3:I$202,I152))*'Input Resturant Brands Scoring '!$B$6</f>
        <v>5.424</v>
      </c>
      <c r="P152" s="31">
        <f t="shared" si="3"/>
        <v>22.524</v>
      </c>
      <c r="Q152" s="31">
        <f>PERCENTRANK(L$3:L$202,L152)*'Input Resturant Brands Scoring '!$B$7</f>
        <v>25.34</v>
      </c>
      <c r="R152" s="31">
        <f t="shared" si="4"/>
        <v>56.649</v>
      </c>
      <c r="S152" s="12">
        <f t="shared" si="5"/>
        <v>66</v>
      </c>
      <c r="T152" s="12" t="str">
        <f t="shared" si="13"/>
        <v>B</v>
      </c>
      <c r="U152" s="33">
        <f t="shared" si="7"/>
        <v>126853.776</v>
      </c>
      <c r="V152" s="13">
        <f t="shared" si="8"/>
        <v>0.29</v>
      </c>
      <c r="W152" s="34">
        <f t="shared" si="9"/>
        <v>0.02</v>
      </c>
      <c r="X152" s="4">
        <f>IF(T152="S", B152*(1+'Input Fee and Elasticity Inputs'!$B$9), IF(T152="A", B152*(1+'Input Fee and Elasticity Inputs'!$B$10), IF(T152="B", B152*(1+'Input Fee and Elasticity Inputs'!$B$11), B152*(1+'Input Fee and Elasticity Inputs'!$B$12))))</f>
        <v>18832.8</v>
      </c>
      <c r="Y152" s="33">
        <f t="shared" si="10"/>
        <v>6.873</v>
      </c>
      <c r="Z152" s="33">
        <f t="shared" si="11"/>
        <v>129437.8344</v>
      </c>
      <c r="AA152" s="33">
        <f t="shared" si="12"/>
        <v>2584.0584</v>
      </c>
    </row>
    <row r="153">
      <c r="A153" s="3" t="s">
        <v>160</v>
      </c>
      <c r="B153" s="4">
        <v>19488.0</v>
      </c>
      <c r="C153" s="5">
        <v>9.0</v>
      </c>
      <c r="D153" s="5">
        <v>12.0</v>
      </c>
      <c r="E153" s="6">
        <v>0.3</v>
      </c>
      <c r="F153" s="7">
        <v>20.0</v>
      </c>
      <c r="G153" s="6">
        <v>0.3</v>
      </c>
      <c r="H153" s="8">
        <v>0.146</v>
      </c>
      <c r="I153" s="8">
        <v>0.013821521238</v>
      </c>
      <c r="J153" s="9">
        <v>6.0</v>
      </c>
      <c r="K153" s="29" t="str">
        <f t="shared" si="1"/>
        <v>SMB</v>
      </c>
      <c r="L153" s="30">
        <f t="shared" si="2"/>
        <v>6</v>
      </c>
      <c r="M153" s="31">
        <f>PERCENTRANK(B$3:B$202,B153)*'Input Resturant Brands Scoring '!$B$3</f>
        <v>8.61</v>
      </c>
      <c r="N153" s="32">
        <f>(1-PERCENTRANK(J$3:J$202,J153))*'Input Resturant Brands Scoring '!$B$5</f>
        <v>14.022</v>
      </c>
      <c r="O153" s="31">
        <f>(1-PERCENTRANK(I$3:I$202,I153))*'Input Resturant Brands Scoring '!$B$6</f>
        <v>10.128</v>
      </c>
      <c r="P153" s="31">
        <f t="shared" si="3"/>
        <v>24.15</v>
      </c>
      <c r="Q153" s="31">
        <f>PERCENTRANK(L$3:L$202,L153)*'Input Resturant Brands Scoring '!$B$7</f>
        <v>23.03</v>
      </c>
      <c r="R153" s="31">
        <f t="shared" si="4"/>
        <v>55.79</v>
      </c>
      <c r="S153" s="12">
        <f t="shared" si="5"/>
        <v>71</v>
      </c>
      <c r="T153" s="12" t="str">
        <f t="shared" si="13"/>
        <v>B</v>
      </c>
      <c r="U153" s="33">
        <f t="shared" si="7"/>
        <v>116928</v>
      </c>
      <c r="V153" s="13">
        <f t="shared" si="8"/>
        <v>0.3</v>
      </c>
      <c r="W153" s="34">
        <f t="shared" si="9"/>
        <v>0</v>
      </c>
      <c r="X153" s="4">
        <f>IF(T153="S", B153*(1+'Input Fee and Elasticity Inputs'!$B$9), IF(T153="A", B153*(1+'Input Fee and Elasticity Inputs'!$B$10), IF(T153="B", B153*(1+'Input Fee and Elasticity Inputs'!$B$11), B153*(1+'Input Fee and Elasticity Inputs'!$B$12))))</f>
        <v>18513.6</v>
      </c>
      <c r="Y153" s="33">
        <f t="shared" si="10"/>
        <v>6</v>
      </c>
      <c r="Z153" s="33">
        <f t="shared" si="11"/>
        <v>111081.6</v>
      </c>
      <c r="AA153" s="33">
        <f t="shared" si="12"/>
        <v>-5846.4</v>
      </c>
    </row>
    <row r="154">
      <c r="A154" s="3" t="s">
        <v>161</v>
      </c>
      <c r="B154" s="4">
        <v>19008.0</v>
      </c>
      <c r="C154" s="5">
        <v>10.0</v>
      </c>
      <c r="D154" s="5">
        <v>13.0</v>
      </c>
      <c r="E154" s="6">
        <v>1.0</v>
      </c>
      <c r="F154" s="7">
        <v>18.0</v>
      </c>
      <c r="G154" s="6">
        <v>0.18</v>
      </c>
      <c r="H154" s="8">
        <v>0.0184</v>
      </c>
      <c r="I154" s="8">
        <v>0.017544254633999997</v>
      </c>
      <c r="J154" s="9">
        <v>7.0</v>
      </c>
      <c r="K154" s="29" t="str">
        <f t="shared" si="1"/>
        <v>SMB</v>
      </c>
      <c r="L154" s="30">
        <f t="shared" si="2"/>
        <v>3.24</v>
      </c>
      <c r="M154" s="31">
        <f>PERCENTRANK(B$3:B$202,B154)*'Input Resturant Brands Scoring '!$B$3</f>
        <v>8.26</v>
      </c>
      <c r="N154" s="32">
        <f>(1-PERCENTRANK(J$3:J$202,J154))*'Input Resturant Brands Scoring '!$B$5</f>
        <v>12.204</v>
      </c>
      <c r="O154" s="31">
        <f>(1-PERCENTRANK(I$3:I$202,I154))*'Input Resturant Brands Scoring '!$B$6</f>
        <v>6.696</v>
      </c>
      <c r="P154" s="31">
        <f t="shared" si="3"/>
        <v>18.9</v>
      </c>
      <c r="Q154" s="31">
        <f>PERCENTRANK(L$3:L$202,L154)*'Input Resturant Brands Scoring '!$B$7</f>
        <v>0.875</v>
      </c>
      <c r="R154" s="31">
        <f t="shared" si="4"/>
        <v>28.035</v>
      </c>
      <c r="S154" s="12">
        <f t="shared" si="5"/>
        <v>187</v>
      </c>
      <c r="T154" s="12" t="str">
        <f t="shared" si="13"/>
        <v>C</v>
      </c>
      <c r="U154" s="33">
        <f t="shared" si="7"/>
        <v>61585.92</v>
      </c>
      <c r="V154" s="13">
        <f t="shared" si="8"/>
        <v>0.21</v>
      </c>
      <c r="W154" s="34">
        <f t="shared" si="9"/>
        <v>0.03</v>
      </c>
      <c r="X154" s="4">
        <f>IF(T154="S", B154*(1+'Input Fee and Elasticity Inputs'!$B$9), IF(T154="A", B154*(1+'Input Fee and Elasticity Inputs'!$B$10), IF(T154="B", B154*(1+'Input Fee and Elasticity Inputs'!$B$11), B154*(1+'Input Fee and Elasticity Inputs'!$B$12))))</f>
        <v>16156.8</v>
      </c>
      <c r="Y154" s="33">
        <f t="shared" si="10"/>
        <v>3.78</v>
      </c>
      <c r="Z154" s="33">
        <f t="shared" si="11"/>
        <v>61072.704</v>
      </c>
      <c r="AA154" s="33">
        <f t="shared" si="12"/>
        <v>-513.216</v>
      </c>
    </row>
    <row r="155">
      <c r="A155" s="3" t="s">
        <v>162</v>
      </c>
      <c r="B155" s="4">
        <v>19008.0</v>
      </c>
      <c r="C155" s="5">
        <v>7.0</v>
      </c>
      <c r="D155" s="5">
        <v>19.0</v>
      </c>
      <c r="E155" s="6">
        <v>0.38</v>
      </c>
      <c r="F155" s="7">
        <v>18.4</v>
      </c>
      <c r="G155" s="6">
        <v>0.28</v>
      </c>
      <c r="H155" s="8">
        <v>0.3132</v>
      </c>
      <c r="I155" s="8">
        <v>0.016501331442</v>
      </c>
      <c r="J155" s="9">
        <v>5.0</v>
      </c>
      <c r="K155" s="29" t="str">
        <f t="shared" si="1"/>
        <v>SMB</v>
      </c>
      <c r="L155" s="30">
        <f t="shared" si="2"/>
        <v>5.152</v>
      </c>
      <c r="M155" s="31">
        <f>PERCENTRANK(B$3:B$202,B155)*'Input Resturant Brands Scoring '!$B$3</f>
        <v>8.26</v>
      </c>
      <c r="N155" s="32">
        <f>(1-PERCENTRANK(J$3:J$202,J155))*'Input Resturant Brands Scoring '!$B$5</f>
        <v>15.462</v>
      </c>
      <c r="O155" s="31">
        <f>(1-PERCENTRANK(I$3:I$202,I155))*'Input Resturant Brands Scoring '!$B$6</f>
        <v>7.356</v>
      </c>
      <c r="P155" s="31">
        <f t="shared" si="3"/>
        <v>22.818</v>
      </c>
      <c r="Q155" s="31">
        <f>PERCENTRANK(L$3:L$202,L155)*'Input Resturant Brands Scoring '!$B$7</f>
        <v>14.945</v>
      </c>
      <c r="R155" s="31">
        <f t="shared" si="4"/>
        <v>46.023</v>
      </c>
      <c r="S155" s="12">
        <f t="shared" si="5"/>
        <v>129</v>
      </c>
      <c r="T155" s="12" t="str">
        <f t="shared" si="13"/>
        <v>B</v>
      </c>
      <c r="U155" s="33">
        <f t="shared" si="7"/>
        <v>97929.216</v>
      </c>
      <c r="V155" s="13">
        <f t="shared" si="8"/>
        <v>0.3</v>
      </c>
      <c r="W155" s="34">
        <f t="shared" si="9"/>
        <v>0.02</v>
      </c>
      <c r="X155" s="4">
        <f>IF(T155="S", B155*(1+'Input Fee and Elasticity Inputs'!$B$9), IF(T155="A", B155*(1+'Input Fee and Elasticity Inputs'!$B$10), IF(T155="B", B155*(1+'Input Fee and Elasticity Inputs'!$B$11), B155*(1+'Input Fee and Elasticity Inputs'!$B$12))))</f>
        <v>18057.6</v>
      </c>
      <c r="Y155" s="33">
        <f t="shared" si="10"/>
        <v>5.52</v>
      </c>
      <c r="Z155" s="33">
        <f t="shared" si="11"/>
        <v>99677.952</v>
      </c>
      <c r="AA155" s="33">
        <f t="shared" si="12"/>
        <v>1748.736</v>
      </c>
    </row>
    <row r="156">
      <c r="A156" s="3" t="s">
        <v>163</v>
      </c>
      <c r="B156" s="4">
        <v>18816.0</v>
      </c>
      <c r="C156" s="5">
        <v>6.0</v>
      </c>
      <c r="D156" s="5">
        <v>13.0</v>
      </c>
      <c r="E156" s="6">
        <v>0.31</v>
      </c>
      <c r="F156" s="7">
        <v>32.4</v>
      </c>
      <c r="G156" s="6">
        <v>0.29</v>
      </c>
      <c r="H156" s="8">
        <v>0.0388</v>
      </c>
      <c r="I156" s="8">
        <v>0.018379929761999998</v>
      </c>
      <c r="J156" s="9">
        <v>10.0</v>
      </c>
      <c r="K156" s="29" t="str">
        <f t="shared" si="1"/>
        <v>SMB</v>
      </c>
      <c r="L156" s="30">
        <f t="shared" si="2"/>
        <v>9.396</v>
      </c>
      <c r="M156" s="31">
        <f>PERCENTRANK(B$3:B$202,B156)*'Input Resturant Brands Scoring '!$B$3</f>
        <v>8.085</v>
      </c>
      <c r="N156" s="32">
        <f>(1-PERCENTRANK(J$3:J$202,J156))*'Input Resturant Brands Scoring '!$B$5</f>
        <v>9.054</v>
      </c>
      <c r="O156" s="31">
        <f>(1-PERCENTRANK(I$3:I$202,I156))*'Input Resturant Brands Scoring '!$B$6</f>
        <v>6.096</v>
      </c>
      <c r="P156" s="31">
        <f t="shared" si="3"/>
        <v>15.15</v>
      </c>
      <c r="Q156" s="31">
        <f>PERCENTRANK(L$3:L$202,L156)*'Input Resturant Brands Scoring '!$B$7</f>
        <v>34.475</v>
      </c>
      <c r="R156" s="31">
        <f t="shared" si="4"/>
        <v>57.71</v>
      </c>
      <c r="S156" s="12">
        <f t="shared" si="5"/>
        <v>63</v>
      </c>
      <c r="T156" s="12" t="str">
        <f t="shared" si="13"/>
        <v>B</v>
      </c>
      <c r="U156" s="33">
        <f t="shared" si="7"/>
        <v>176795.136</v>
      </c>
      <c r="V156" s="13">
        <f t="shared" si="8"/>
        <v>0.3</v>
      </c>
      <c r="W156" s="34">
        <f t="shared" si="9"/>
        <v>0.01</v>
      </c>
      <c r="X156" s="4">
        <f>IF(T156="S", B156*(1+'Input Fee and Elasticity Inputs'!$B$9), IF(T156="A", B156*(1+'Input Fee and Elasticity Inputs'!$B$10), IF(T156="B", B156*(1+'Input Fee and Elasticity Inputs'!$B$11), B156*(1+'Input Fee and Elasticity Inputs'!$B$12))))</f>
        <v>17875.2</v>
      </c>
      <c r="Y156" s="33">
        <f t="shared" si="10"/>
        <v>9.72</v>
      </c>
      <c r="Z156" s="33">
        <f t="shared" si="11"/>
        <v>173746.944</v>
      </c>
      <c r="AA156" s="33">
        <f t="shared" si="12"/>
        <v>-3048.192</v>
      </c>
    </row>
    <row r="157">
      <c r="A157" s="3" t="s">
        <v>164</v>
      </c>
      <c r="B157" s="4">
        <v>18240.0</v>
      </c>
      <c r="C157" s="5">
        <v>13.0</v>
      </c>
      <c r="D157" s="5">
        <v>27.0</v>
      </c>
      <c r="E157" s="6">
        <v>0.68</v>
      </c>
      <c r="F157" s="7">
        <v>19.5</v>
      </c>
      <c r="G157" s="6">
        <v>0.3</v>
      </c>
      <c r="H157" s="8">
        <v>0.0344</v>
      </c>
      <c r="I157" s="8">
        <v>0.01763664576</v>
      </c>
      <c r="J157" s="9">
        <v>4.0</v>
      </c>
      <c r="K157" s="29" t="str">
        <f t="shared" si="1"/>
        <v>SMB</v>
      </c>
      <c r="L157" s="30">
        <f t="shared" si="2"/>
        <v>5.85</v>
      </c>
      <c r="M157" s="31">
        <f>PERCENTRANK(B$3:B$202,B157)*'Input Resturant Brands Scoring '!$B$3</f>
        <v>7.91</v>
      </c>
      <c r="N157" s="32">
        <f>(1-PERCENTRANK(J$3:J$202,J157))*'Input Resturant Brands Scoring '!$B$5</f>
        <v>17.1</v>
      </c>
      <c r="O157" s="31">
        <f>(1-PERCENTRANK(I$3:I$202,I157))*'Input Resturant Brands Scoring '!$B$6</f>
        <v>6.576</v>
      </c>
      <c r="P157" s="31">
        <f t="shared" si="3"/>
        <v>23.676</v>
      </c>
      <c r="Q157" s="31">
        <f>PERCENTRANK(L$3:L$202,L157)*'Input Resturant Brands Scoring '!$B$7</f>
        <v>21.805</v>
      </c>
      <c r="R157" s="31">
        <f t="shared" si="4"/>
        <v>53.391</v>
      </c>
      <c r="S157" s="12">
        <f t="shared" si="5"/>
        <v>90</v>
      </c>
      <c r="T157" s="12" t="str">
        <f t="shared" si="13"/>
        <v>B</v>
      </c>
      <c r="U157" s="33">
        <f t="shared" si="7"/>
        <v>106704</v>
      </c>
      <c r="V157" s="13">
        <f t="shared" si="8"/>
        <v>0.3</v>
      </c>
      <c r="W157" s="34">
        <f t="shared" si="9"/>
        <v>0</v>
      </c>
      <c r="X157" s="4">
        <f>IF(T157="S", B157*(1+'Input Fee and Elasticity Inputs'!$B$9), IF(T157="A", B157*(1+'Input Fee and Elasticity Inputs'!$B$10), IF(T157="B", B157*(1+'Input Fee and Elasticity Inputs'!$B$11), B157*(1+'Input Fee and Elasticity Inputs'!$B$12))))</f>
        <v>17328</v>
      </c>
      <c r="Y157" s="33">
        <f t="shared" si="10"/>
        <v>5.85</v>
      </c>
      <c r="Z157" s="33">
        <f t="shared" si="11"/>
        <v>101368.8</v>
      </c>
      <c r="AA157" s="33">
        <f t="shared" si="12"/>
        <v>-5335.2</v>
      </c>
    </row>
    <row r="158">
      <c r="A158" s="3" t="s">
        <v>165</v>
      </c>
      <c r="B158" s="4">
        <v>18000.0</v>
      </c>
      <c r="C158" s="5">
        <v>13.0</v>
      </c>
      <c r="D158" s="5">
        <v>19.0</v>
      </c>
      <c r="E158" s="6">
        <v>0.93</v>
      </c>
      <c r="F158" s="7">
        <v>22.5</v>
      </c>
      <c r="G158" s="6">
        <v>0.3</v>
      </c>
      <c r="H158" s="8">
        <v>0.0544</v>
      </c>
      <c r="I158" s="8">
        <v>0.017958540377999998</v>
      </c>
      <c r="J158" s="9">
        <v>6.0</v>
      </c>
      <c r="K158" s="29" t="str">
        <f t="shared" si="1"/>
        <v>SMB</v>
      </c>
      <c r="L158" s="30">
        <f t="shared" si="2"/>
        <v>6.75</v>
      </c>
      <c r="M158" s="31">
        <f>PERCENTRANK(B$3:B$202,B158)*'Input Resturant Brands Scoring '!$B$3</f>
        <v>7.735</v>
      </c>
      <c r="N158" s="32">
        <f>(1-PERCENTRANK(J$3:J$202,J158))*'Input Resturant Brands Scoring '!$B$5</f>
        <v>14.022</v>
      </c>
      <c r="O158" s="31">
        <f>(1-PERCENTRANK(I$3:I$202,I158))*'Input Resturant Brands Scoring '!$B$6</f>
        <v>6.276</v>
      </c>
      <c r="P158" s="31">
        <f t="shared" si="3"/>
        <v>20.298</v>
      </c>
      <c r="Q158" s="31">
        <f>PERCENTRANK(L$3:L$202,L158)*'Input Resturant Brands Scoring '!$B$7</f>
        <v>27.79</v>
      </c>
      <c r="R158" s="31">
        <f t="shared" si="4"/>
        <v>55.823</v>
      </c>
      <c r="S158" s="12">
        <f t="shared" si="5"/>
        <v>69</v>
      </c>
      <c r="T158" s="12" t="str">
        <f t="shared" si="13"/>
        <v>B</v>
      </c>
      <c r="U158" s="33">
        <f t="shared" si="7"/>
        <v>121500</v>
      </c>
      <c r="V158" s="13">
        <f t="shared" si="8"/>
        <v>0.3</v>
      </c>
      <c r="W158" s="34">
        <f t="shared" si="9"/>
        <v>0</v>
      </c>
      <c r="X158" s="4">
        <f>IF(T158="S", B158*(1+'Input Fee and Elasticity Inputs'!$B$9), IF(T158="A", B158*(1+'Input Fee and Elasticity Inputs'!$B$10), IF(T158="B", B158*(1+'Input Fee and Elasticity Inputs'!$B$11), B158*(1+'Input Fee and Elasticity Inputs'!$B$12))))</f>
        <v>17100</v>
      </c>
      <c r="Y158" s="33">
        <f t="shared" si="10"/>
        <v>6.75</v>
      </c>
      <c r="Z158" s="33">
        <f t="shared" si="11"/>
        <v>115425</v>
      </c>
      <c r="AA158" s="33">
        <f t="shared" si="12"/>
        <v>-6075</v>
      </c>
    </row>
    <row r="159">
      <c r="A159" s="3" t="s">
        <v>166</v>
      </c>
      <c r="B159" s="4">
        <v>17712.0</v>
      </c>
      <c r="C159" s="5">
        <v>7.0</v>
      </c>
      <c r="D159" s="5">
        <v>20.0</v>
      </c>
      <c r="E159" s="6">
        <v>0.87</v>
      </c>
      <c r="F159" s="7">
        <v>19.0</v>
      </c>
      <c r="G159" s="6">
        <v>0.23</v>
      </c>
      <c r="H159" s="8">
        <v>0.0592</v>
      </c>
      <c r="I159" s="8">
        <v>0.009844548228</v>
      </c>
      <c r="J159" s="9">
        <v>11.0</v>
      </c>
      <c r="K159" s="29" t="str">
        <f t="shared" si="1"/>
        <v>SMB</v>
      </c>
      <c r="L159" s="30">
        <f t="shared" si="2"/>
        <v>4.37</v>
      </c>
      <c r="M159" s="31">
        <f>PERCENTRANK(B$3:B$202,B159)*'Input Resturant Brands Scoring '!$B$3</f>
        <v>7.56</v>
      </c>
      <c r="N159" s="32">
        <f>(1-PERCENTRANK(J$3:J$202,J159))*'Input Resturant Brands Scoring '!$B$5</f>
        <v>8.136</v>
      </c>
      <c r="O159" s="31">
        <f>(1-PERCENTRANK(I$3:I$202,I159))*'Input Resturant Brands Scoring '!$B$6</f>
        <v>11.88</v>
      </c>
      <c r="P159" s="31">
        <f t="shared" si="3"/>
        <v>20.016</v>
      </c>
      <c r="Q159" s="31">
        <f>PERCENTRANK(L$3:L$202,L159)*'Input Resturant Brands Scoring '!$B$7</f>
        <v>6.86</v>
      </c>
      <c r="R159" s="31">
        <f t="shared" si="4"/>
        <v>34.436</v>
      </c>
      <c r="S159" s="12">
        <f t="shared" si="5"/>
        <v>171</v>
      </c>
      <c r="T159" s="12" t="str">
        <f t="shared" si="13"/>
        <v>C</v>
      </c>
      <c r="U159" s="33">
        <f t="shared" si="7"/>
        <v>77401.44</v>
      </c>
      <c r="V159" s="13">
        <f t="shared" si="8"/>
        <v>0.26</v>
      </c>
      <c r="W159" s="34">
        <f t="shared" si="9"/>
        <v>0.03</v>
      </c>
      <c r="X159" s="4">
        <f>IF(T159="S", B159*(1+'Input Fee and Elasticity Inputs'!$B$9), IF(T159="A", B159*(1+'Input Fee and Elasticity Inputs'!$B$10), IF(T159="B", B159*(1+'Input Fee and Elasticity Inputs'!$B$11), B159*(1+'Input Fee and Elasticity Inputs'!$B$12))))</f>
        <v>15055.2</v>
      </c>
      <c r="Y159" s="33">
        <f t="shared" si="10"/>
        <v>4.94</v>
      </c>
      <c r="Z159" s="33">
        <f t="shared" si="11"/>
        <v>74372.688</v>
      </c>
      <c r="AA159" s="33">
        <f t="shared" si="12"/>
        <v>-3028.752</v>
      </c>
    </row>
    <row r="160">
      <c r="A160" s="3" t="s">
        <v>167</v>
      </c>
      <c r="B160" s="4">
        <v>17280.0</v>
      </c>
      <c r="C160" s="5">
        <v>6.0</v>
      </c>
      <c r="D160" s="5">
        <v>11.0</v>
      </c>
      <c r="E160" s="6">
        <v>0.82</v>
      </c>
      <c r="F160" s="7">
        <v>22.3</v>
      </c>
      <c r="G160" s="6">
        <v>0.27</v>
      </c>
      <c r="H160" s="8">
        <v>0.044</v>
      </c>
      <c r="I160" s="8">
        <v>0.029892705282</v>
      </c>
      <c r="J160" s="9">
        <v>32.0</v>
      </c>
      <c r="K160" s="29" t="str">
        <f t="shared" si="1"/>
        <v>SMB</v>
      </c>
      <c r="L160" s="30">
        <f t="shared" si="2"/>
        <v>6.021</v>
      </c>
      <c r="M160" s="31">
        <f>PERCENTRANK(B$3:B$202,B160)*'Input Resturant Brands Scoring '!$B$3</f>
        <v>7.385</v>
      </c>
      <c r="N160" s="32">
        <f>(1-PERCENTRANK(J$3:J$202,J160))*'Input Resturant Brands Scoring '!$B$5</f>
        <v>1.26</v>
      </c>
      <c r="O160" s="31">
        <f>(1-PERCENTRANK(I$3:I$202,I160))*'Input Resturant Brands Scoring '!$B$6</f>
        <v>0.78</v>
      </c>
      <c r="P160" s="31">
        <f t="shared" si="3"/>
        <v>2.04</v>
      </c>
      <c r="Q160" s="31">
        <f>PERCENTRANK(L$3:L$202,L160)*'Input Resturant Brands Scoring '!$B$7</f>
        <v>23.205</v>
      </c>
      <c r="R160" s="31">
        <f t="shared" si="4"/>
        <v>32.63</v>
      </c>
      <c r="S160" s="12">
        <f t="shared" si="5"/>
        <v>178</v>
      </c>
      <c r="T160" s="12" t="str">
        <f t="shared" si="13"/>
        <v>C</v>
      </c>
      <c r="U160" s="33">
        <f t="shared" si="7"/>
        <v>104042.88</v>
      </c>
      <c r="V160" s="13">
        <f t="shared" si="8"/>
        <v>0.3</v>
      </c>
      <c r="W160" s="34">
        <f t="shared" si="9"/>
        <v>0.03</v>
      </c>
      <c r="X160" s="4">
        <f>IF(T160="S", B160*(1+'Input Fee and Elasticity Inputs'!$B$9), IF(T160="A", B160*(1+'Input Fee and Elasticity Inputs'!$B$10), IF(T160="B", B160*(1+'Input Fee and Elasticity Inputs'!$B$11), B160*(1+'Input Fee and Elasticity Inputs'!$B$12))))</f>
        <v>14688</v>
      </c>
      <c r="Y160" s="33">
        <f t="shared" si="10"/>
        <v>6.69</v>
      </c>
      <c r="Z160" s="33">
        <f t="shared" si="11"/>
        <v>98262.72</v>
      </c>
      <c r="AA160" s="33">
        <f t="shared" si="12"/>
        <v>-5780.16</v>
      </c>
    </row>
    <row r="161">
      <c r="A161" s="3" t="s">
        <v>168</v>
      </c>
      <c r="B161" s="4">
        <v>17172.0</v>
      </c>
      <c r="C161" s="5">
        <v>7.0</v>
      </c>
      <c r="D161" s="5">
        <v>54.0</v>
      </c>
      <c r="E161" s="6">
        <v>0.51</v>
      </c>
      <c r="F161" s="7">
        <v>18.0</v>
      </c>
      <c r="G161" s="6">
        <v>0.3</v>
      </c>
      <c r="H161" s="8">
        <v>0.0464</v>
      </c>
      <c r="I161" s="8">
        <v>0.028557623693999997</v>
      </c>
      <c r="J161" s="9">
        <v>15.0</v>
      </c>
      <c r="K161" s="29" t="str">
        <f t="shared" si="1"/>
        <v>SMB</v>
      </c>
      <c r="L161" s="30">
        <f t="shared" si="2"/>
        <v>5.4</v>
      </c>
      <c r="M161" s="31">
        <f>PERCENTRANK(B$3:B$202,B161)*'Input Resturant Brands Scoring '!$B$3</f>
        <v>7.21</v>
      </c>
      <c r="N161" s="32">
        <f>(1-PERCENTRANK(J$3:J$202,J161))*'Input Resturant Brands Scoring '!$B$5</f>
        <v>5.436</v>
      </c>
      <c r="O161" s="31">
        <f>(1-PERCENTRANK(I$3:I$202,I161))*'Input Resturant Brands Scoring '!$B$6</f>
        <v>1.452</v>
      </c>
      <c r="P161" s="31">
        <f t="shared" si="3"/>
        <v>6.888</v>
      </c>
      <c r="Q161" s="31">
        <f>PERCENTRANK(L$3:L$202,L161)*'Input Resturant Brands Scoring '!$B$7</f>
        <v>17.045</v>
      </c>
      <c r="R161" s="31">
        <f t="shared" si="4"/>
        <v>31.143</v>
      </c>
      <c r="S161" s="12">
        <f t="shared" si="5"/>
        <v>181</v>
      </c>
      <c r="T161" s="12" t="str">
        <f t="shared" si="13"/>
        <v>C</v>
      </c>
      <c r="U161" s="33">
        <f t="shared" si="7"/>
        <v>92728.8</v>
      </c>
      <c r="V161" s="13">
        <f t="shared" si="8"/>
        <v>0.3</v>
      </c>
      <c r="W161" s="34">
        <f t="shared" si="9"/>
        <v>0</v>
      </c>
      <c r="X161" s="4">
        <f>IF(T161="S", B161*(1+'Input Fee and Elasticity Inputs'!$B$9), IF(T161="A", B161*(1+'Input Fee and Elasticity Inputs'!$B$10), IF(T161="B", B161*(1+'Input Fee and Elasticity Inputs'!$B$11), B161*(1+'Input Fee and Elasticity Inputs'!$B$12))))</f>
        <v>14596.2</v>
      </c>
      <c r="Y161" s="33">
        <f t="shared" si="10"/>
        <v>5.4</v>
      </c>
      <c r="Z161" s="33">
        <f t="shared" si="11"/>
        <v>78819.48</v>
      </c>
      <c r="AA161" s="33">
        <f t="shared" si="12"/>
        <v>-13909.32</v>
      </c>
    </row>
    <row r="162">
      <c r="A162" s="3" t="s">
        <v>169</v>
      </c>
      <c r="B162" s="4">
        <v>16440.0</v>
      </c>
      <c r="C162" s="5">
        <v>7.0</v>
      </c>
      <c r="D162" s="5">
        <v>9.0</v>
      </c>
      <c r="E162" s="6">
        <v>0.07</v>
      </c>
      <c r="F162" s="7">
        <v>16.7</v>
      </c>
      <c r="G162" s="6">
        <v>0.3</v>
      </c>
      <c r="H162" s="8">
        <v>0.052</v>
      </c>
      <c r="I162" s="8">
        <v>0.028816190075999996</v>
      </c>
      <c r="J162" s="9">
        <v>25.0</v>
      </c>
      <c r="K162" s="29" t="str">
        <f t="shared" si="1"/>
        <v>SMB</v>
      </c>
      <c r="L162" s="30">
        <f t="shared" si="2"/>
        <v>5.01</v>
      </c>
      <c r="M162" s="31">
        <f>PERCENTRANK(B$3:B$202,B162)*'Input Resturant Brands Scoring '!$B$3</f>
        <v>7.035</v>
      </c>
      <c r="N162" s="32">
        <f>(1-PERCENTRANK(J$3:J$202,J162))*'Input Resturant Brands Scoring '!$B$5</f>
        <v>2.358</v>
      </c>
      <c r="O162" s="31">
        <f>(1-PERCENTRANK(I$3:I$202,I162))*'Input Resturant Brands Scoring '!$B$6</f>
        <v>1.332</v>
      </c>
      <c r="P162" s="31">
        <f t="shared" si="3"/>
        <v>3.69</v>
      </c>
      <c r="Q162" s="31">
        <f>PERCENTRANK(L$3:L$202,L162)*'Input Resturant Brands Scoring '!$B$7</f>
        <v>12.67</v>
      </c>
      <c r="R162" s="31">
        <f t="shared" si="4"/>
        <v>23.395</v>
      </c>
      <c r="S162" s="12">
        <f t="shared" si="5"/>
        <v>195</v>
      </c>
      <c r="T162" s="12" t="str">
        <f t="shared" si="13"/>
        <v>C</v>
      </c>
      <c r="U162" s="33">
        <f t="shared" si="7"/>
        <v>82364.4</v>
      </c>
      <c r="V162" s="13">
        <f t="shared" si="8"/>
        <v>0.3</v>
      </c>
      <c r="W162" s="34">
        <f t="shared" si="9"/>
        <v>0</v>
      </c>
      <c r="X162" s="4">
        <f>IF(T162="S", B162*(1+'Input Fee and Elasticity Inputs'!$B$9), IF(T162="A", B162*(1+'Input Fee and Elasticity Inputs'!$B$10), IF(T162="B", B162*(1+'Input Fee and Elasticity Inputs'!$B$11), B162*(1+'Input Fee and Elasticity Inputs'!$B$12))))</f>
        <v>13974</v>
      </c>
      <c r="Y162" s="33">
        <f t="shared" si="10"/>
        <v>5.01</v>
      </c>
      <c r="Z162" s="33">
        <f t="shared" si="11"/>
        <v>70009.74</v>
      </c>
      <c r="AA162" s="33">
        <f t="shared" si="12"/>
        <v>-12354.66</v>
      </c>
    </row>
    <row r="163">
      <c r="A163" s="3" t="s">
        <v>170</v>
      </c>
      <c r="B163" s="4">
        <v>16320.0</v>
      </c>
      <c r="C163" s="5">
        <v>6.0</v>
      </c>
      <c r="D163" s="5">
        <v>15.0</v>
      </c>
      <c r="E163" s="6">
        <v>0.67</v>
      </c>
      <c r="F163" s="7">
        <v>24.6</v>
      </c>
      <c r="G163" s="6">
        <v>0.3</v>
      </c>
      <c r="H163" s="8">
        <v>0.0736</v>
      </c>
      <c r="I163" s="8">
        <v>0.010304711651999999</v>
      </c>
      <c r="J163" s="9">
        <v>17.0</v>
      </c>
      <c r="K163" s="29" t="str">
        <f t="shared" si="1"/>
        <v>SMB</v>
      </c>
      <c r="L163" s="30">
        <f t="shared" si="2"/>
        <v>7.38</v>
      </c>
      <c r="M163" s="31">
        <f>PERCENTRANK(B$3:B$202,B163)*'Input Resturant Brands Scoring '!$B$3</f>
        <v>6.86</v>
      </c>
      <c r="N163" s="32">
        <f>(1-PERCENTRANK(J$3:J$202,J163))*'Input Resturant Brands Scoring '!$B$5</f>
        <v>4.608</v>
      </c>
      <c r="O163" s="31">
        <f>(1-PERCENTRANK(I$3:I$202,I163))*'Input Resturant Brands Scoring '!$B$6</f>
        <v>11.76</v>
      </c>
      <c r="P163" s="31">
        <f t="shared" si="3"/>
        <v>16.368</v>
      </c>
      <c r="Q163" s="31">
        <f>PERCENTRANK(L$3:L$202,L163)*'Input Resturant Brands Scoring '!$B$7</f>
        <v>30.765</v>
      </c>
      <c r="R163" s="31">
        <f t="shared" si="4"/>
        <v>53.993</v>
      </c>
      <c r="S163" s="12">
        <f t="shared" si="5"/>
        <v>85</v>
      </c>
      <c r="T163" s="12" t="str">
        <f t="shared" si="13"/>
        <v>B</v>
      </c>
      <c r="U163" s="33">
        <f t="shared" si="7"/>
        <v>120441.6</v>
      </c>
      <c r="V163" s="13">
        <f t="shared" si="8"/>
        <v>0.3</v>
      </c>
      <c r="W163" s="34">
        <f t="shared" si="9"/>
        <v>0</v>
      </c>
      <c r="X163" s="4">
        <f>IF(T163="S", B163*(1+'Input Fee and Elasticity Inputs'!$B$9), IF(T163="A", B163*(1+'Input Fee and Elasticity Inputs'!$B$10), IF(T163="B", B163*(1+'Input Fee and Elasticity Inputs'!$B$11), B163*(1+'Input Fee and Elasticity Inputs'!$B$12))))</f>
        <v>15504</v>
      </c>
      <c r="Y163" s="33">
        <f t="shared" si="10"/>
        <v>7.38</v>
      </c>
      <c r="Z163" s="33">
        <f t="shared" si="11"/>
        <v>114419.52</v>
      </c>
      <c r="AA163" s="33">
        <f t="shared" si="12"/>
        <v>-6022.08</v>
      </c>
    </row>
    <row r="164">
      <c r="A164" s="3" t="s">
        <v>171</v>
      </c>
      <c r="B164" s="4">
        <v>16224.0</v>
      </c>
      <c r="C164" s="5">
        <v>6.0</v>
      </c>
      <c r="D164" s="5">
        <v>23.0</v>
      </c>
      <c r="E164" s="6">
        <v>0.51</v>
      </c>
      <c r="F164" s="7">
        <v>20.0</v>
      </c>
      <c r="G164" s="6">
        <v>0.28</v>
      </c>
      <c r="H164" s="8">
        <v>0.0284</v>
      </c>
      <c r="I164" s="8">
        <v>0.028861417542</v>
      </c>
      <c r="J164" s="9">
        <v>14.0</v>
      </c>
      <c r="K164" s="29" t="str">
        <f t="shared" si="1"/>
        <v>SMB</v>
      </c>
      <c r="L164" s="30">
        <f t="shared" si="2"/>
        <v>5.6</v>
      </c>
      <c r="M164" s="31">
        <f>PERCENTRANK(B$3:B$202,B164)*'Input Resturant Brands Scoring '!$B$3</f>
        <v>6.685</v>
      </c>
      <c r="N164" s="32">
        <f>(1-PERCENTRANK(J$3:J$202,J164))*'Input Resturant Brands Scoring '!$B$5</f>
        <v>6.426</v>
      </c>
      <c r="O164" s="31">
        <f>(1-PERCENTRANK(I$3:I$202,I164))*'Input Resturant Brands Scoring '!$B$6</f>
        <v>1.272</v>
      </c>
      <c r="P164" s="31">
        <f t="shared" si="3"/>
        <v>7.698</v>
      </c>
      <c r="Q164" s="31">
        <f>PERCENTRANK(L$3:L$202,L164)*'Input Resturant Brands Scoring '!$B$7</f>
        <v>20.055</v>
      </c>
      <c r="R164" s="31">
        <f t="shared" si="4"/>
        <v>34.438</v>
      </c>
      <c r="S164" s="12">
        <f t="shared" si="5"/>
        <v>170</v>
      </c>
      <c r="T164" s="12" t="str">
        <f t="shared" si="13"/>
        <v>C</v>
      </c>
      <c r="U164" s="33">
        <f t="shared" si="7"/>
        <v>90854.4</v>
      </c>
      <c r="V164" s="13">
        <f t="shared" si="8"/>
        <v>0.3</v>
      </c>
      <c r="W164" s="34">
        <f t="shared" si="9"/>
        <v>0.02</v>
      </c>
      <c r="X164" s="4">
        <f>IF(T164="S", B164*(1+'Input Fee and Elasticity Inputs'!$B$9), IF(T164="A", B164*(1+'Input Fee and Elasticity Inputs'!$B$10), IF(T164="B", B164*(1+'Input Fee and Elasticity Inputs'!$B$11), B164*(1+'Input Fee and Elasticity Inputs'!$B$12))))</f>
        <v>13790.4</v>
      </c>
      <c r="Y164" s="33">
        <f t="shared" si="10"/>
        <v>6</v>
      </c>
      <c r="Z164" s="33">
        <f t="shared" si="11"/>
        <v>82742.4</v>
      </c>
      <c r="AA164" s="33">
        <f t="shared" si="12"/>
        <v>-8112</v>
      </c>
    </row>
    <row r="165">
      <c r="A165" s="3" t="s">
        <v>172</v>
      </c>
      <c r="B165" s="4">
        <v>15120.0</v>
      </c>
      <c r="C165" s="5">
        <v>8.0</v>
      </c>
      <c r="D165" s="5">
        <v>29.0</v>
      </c>
      <c r="E165" s="6">
        <v>0.2</v>
      </c>
      <c r="F165" s="7">
        <v>17.1</v>
      </c>
      <c r="G165" s="6">
        <v>0.3</v>
      </c>
      <c r="H165" s="8">
        <v>0.0832</v>
      </c>
      <c r="I165" s="8">
        <v>0.014155418298</v>
      </c>
      <c r="J165" s="9">
        <v>3.0</v>
      </c>
      <c r="K165" s="29" t="str">
        <f t="shared" si="1"/>
        <v>SMB</v>
      </c>
      <c r="L165" s="30">
        <f t="shared" si="2"/>
        <v>5.13</v>
      </c>
      <c r="M165" s="31">
        <f>PERCENTRANK(B$3:B$202,B165)*'Input Resturant Brands Scoring '!$B$3</f>
        <v>6.51</v>
      </c>
      <c r="N165" s="32">
        <f>(1-PERCENTRANK(J$3:J$202,J165))*'Input Resturant Brands Scoring '!$B$5</f>
        <v>18</v>
      </c>
      <c r="O165" s="31">
        <f>(1-PERCENTRANK(I$3:I$202,I165))*'Input Resturant Brands Scoring '!$B$6</f>
        <v>9.768</v>
      </c>
      <c r="P165" s="31">
        <f t="shared" si="3"/>
        <v>27.768</v>
      </c>
      <c r="Q165" s="31">
        <f>PERCENTRANK(L$3:L$202,L165)*'Input Resturant Brands Scoring '!$B$7</f>
        <v>14.245</v>
      </c>
      <c r="R165" s="31">
        <f t="shared" si="4"/>
        <v>48.523</v>
      </c>
      <c r="S165" s="12">
        <f t="shared" si="5"/>
        <v>112</v>
      </c>
      <c r="T165" s="12" t="str">
        <f t="shared" si="13"/>
        <v>B</v>
      </c>
      <c r="U165" s="33">
        <f t="shared" si="7"/>
        <v>77565.6</v>
      </c>
      <c r="V165" s="13">
        <f t="shared" si="8"/>
        <v>0.3</v>
      </c>
      <c r="W165" s="34">
        <f t="shared" si="9"/>
        <v>0</v>
      </c>
      <c r="X165" s="4">
        <f>IF(T165="S", B165*(1+'Input Fee and Elasticity Inputs'!$B$9), IF(T165="A", B165*(1+'Input Fee and Elasticity Inputs'!$B$10), IF(T165="B", B165*(1+'Input Fee and Elasticity Inputs'!$B$11), B165*(1+'Input Fee and Elasticity Inputs'!$B$12))))</f>
        <v>14364</v>
      </c>
      <c r="Y165" s="33">
        <f t="shared" si="10"/>
        <v>5.13</v>
      </c>
      <c r="Z165" s="33">
        <f t="shared" si="11"/>
        <v>73687.32</v>
      </c>
      <c r="AA165" s="33">
        <f t="shared" si="12"/>
        <v>-3878.28</v>
      </c>
    </row>
    <row r="166">
      <c r="A166" s="3" t="s">
        <v>173</v>
      </c>
      <c r="B166" s="4">
        <v>14904.0</v>
      </c>
      <c r="C166" s="5">
        <v>7.0</v>
      </c>
      <c r="D166" s="5">
        <v>23.0</v>
      </c>
      <c r="E166" s="6">
        <v>0.31</v>
      </c>
      <c r="F166" s="7">
        <v>17.5</v>
      </c>
      <c r="G166" s="6">
        <v>0.3</v>
      </c>
      <c r="H166" s="8">
        <v>0.0252</v>
      </c>
      <c r="I166" s="8">
        <v>0.02353482999</v>
      </c>
      <c r="J166" s="9">
        <v>3.0</v>
      </c>
      <c r="K166" s="29" t="str">
        <f t="shared" si="1"/>
        <v>SMB</v>
      </c>
      <c r="L166" s="30">
        <f t="shared" si="2"/>
        <v>5.25</v>
      </c>
      <c r="M166" s="31">
        <f>PERCENTRANK(B$3:B$202,B166)*'Input Resturant Brands Scoring '!$B$3</f>
        <v>6.335</v>
      </c>
      <c r="N166" s="32">
        <f>(1-PERCENTRANK(J$3:J$202,J166))*'Input Resturant Brands Scoring '!$B$5</f>
        <v>18</v>
      </c>
      <c r="O166" s="31">
        <f>(1-PERCENTRANK(I$3:I$202,I166))*'Input Resturant Brands Scoring '!$B$6</f>
        <v>3.372</v>
      </c>
      <c r="P166" s="31">
        <f t="shared" si="3"/>
        <v>21.372</v>
      </c>
      <c r="Q166" s="31">
        <f>PERCENTRANK(L$3:L$202,L166)*'Input Resturant Brands Scoring '!$B$7</f>
        <v>15.82</v>
      </c>
      <c r="R166" s="31">
        <f t="shared" si="4"/>
        <v>43.527</v>
      </c>
      <c r="S166" s="12">
        <f t="shared" si="5"/>
        <v>138</v>
      </c>
      <c r="T166" s="12" t="str">
        <f t="shared" si="13"/>
        <v>B</v>
      </c>
      <c r="U166" s="33">
        <f t="shared" si="7"/>
        <v>78246</v>
      </c>
      <c r="V166" s="13">
        <f t="shared" si="8"/>
        <v>0.3</v>
      </c>
      <c r="W166" s="34">
        <f t="shared" si="9"/>
        <v>0</v>
      </c>
      <c r="X166" s="4">
        <f>IF(T166="S", B166*(1+'Input Fee and Elasticity Inputs'!$B$9), IF(T166="A", B166*(1+'Input Fee and Elasticity Inputs'!$B$10), IF(T166="B", B166*(1+'Input Fee and Elasticity Inputs'!$B$11), B166*(1+'Input Fee and Elasticity Inputs'!$B$12))))</f>
        <v>14158.8</v>
      </c>
      <c r="Y166" s="33">
        <f t="shared" si="10"/>
        <v>5.25</v>
      </c>
      <c r="Z166" s="33">
        <f t="shared" si="11"/>
        <v>74333.7</v>
      </c>
      <c r="AA166" s="33">
        <f t="shared" si="12"/>
        <v>-3912.3</v>
      </c>
    </row>
    <row r="167">
      <c r="A167" s="3" t="s">
        <v>174</v>
      </c>
      <c r="B167" s="4">
        <v>14784.0</v>
      </c>
      <c r="C167" s="5">
        <v>14.0</v>
      </c>
      <c r="D167" s="5">
        <v>43.0</v>
      </c>
      <c r="E167" s="6">
        <v>0.23</v>
      </c>
      <c r="F167" s="7">
        <v>14.9</v>
      </c>
      <c r="G167" s="6">
        <v>0.26</v>
      </c>
      <c r="H167" s="8">
        <v>0.0</v>
      </c>
      <c r="I167" s="8">
        <v>0.016803891624</v>
      </c>
      <c r="J167" s="9">
        <v>4.0</v>
      </c>
      <c r="K167" s="29" t="str">
        <f t="shared" si="1"/>
        <v>SMB</v>
      </c>
      <c r="L167" s="30">
        <f t="shared" si="2"/>
        <v>3.874</v>
      </c>
      <c r="M167" s="31">
        <f>PERCENTRANK(B$3:B$202,B167)*'Input Resturant Brands Scoring '!$B$3</f>
        <v>6.16</v>
      </c>
      <c r="N167" s="32">
        <f>(1-PERCENTRANK(J$3:J$202,J167))*'Input Resturant Brands Scoring '!$B$5</f>
        <v>17.1</v>
      </c>
      <c r="O167" s="31">
        <f>(1-PERCENTRANK(I$3:I$202,I167))*'Input Resturant Brands Scoring '!$B$6</f>
        <v>7.176</v>
      </c>
      <c r="P167" s="31">
        <f t="shared" si="3"/>
        <v>24.276</v>
      </c>
      <c r="Q167" s="31">
        <f>PERCENTRANK(L$3:L$202,L167)*'Input Resturant Brands Scoring '!$B$7</f>
        <v>2.8</v>
      </c>
      <c r="R167" s="31">
        <f t="shared" si="4"/>
        <v>33.236</v>
      </c>
      <c r="S167" s="12">
        <f t="shared" si="5"/>
        <v>172</v>
      </c>
      <c r="T167" s="12" t="str">
        <f t="shared" si="13"/>
        <v>C</v>
      </c>
      <c r="U167" s="33">
        <f t="shared" si="7"/>
        <v>57273.216</v>
      </c>
      <c r="V167" s="13">
        <f t="shared" si="8"/>
        <v>0.29</v>
      </c>
      <c r="W167" s="34">
        <f t="shared" si="9"/>
        <v>0.03</v>
      </c>
      <c r="X167" s="4">
        <f>IF(T167="S", B167*(1+'Input Fee and Elasticity Inputs'!$B$9), IF(T167="A", B167*(1+'Input Fee and Elasticity Inputs'!$B$10), IF(T167="B", B167*(1+'Input Fee and Elasticity Inputs'!$B$11), B167*(1+'Input Fee and Elasticity Inputs'!$B$12))))</f>
        <v>12566.4</v>
      </c>
      <c r="Y167" s="33">
        <f t="shared" si="10"/>
        <v>4.321</v>
      </c>
      <c r="Z167" s="33">
        <f t="shared" si="11"/>
        <v>54299.4144</v>
      </c>
      <c r="AA167" s="33">
        <f t="shared" si="12"/>
        <v>-2973.8016</v>
      </c>
    </row>
    <row r="168">
      <c r="A168" s="3" t="s">
        <v>175</v>
      </c>
      <c r="B168" s="4">
        <v>14520.0</v>
      </c>
      <c r="C168" s="5">
        <v>6.0</v>
      </c>
      <c r="D168" s="5">
        <v>12.0</v>
      </c>
      <c r="E168" s="6">
        <v>0.68</v>
      </c>
      <c r="F168" s="7">
        <v>19.8</v>
      </c>
      <c r="G168" s="6">
        <v>0.3</v>
      </c>
      <c r="H168" s="8">
        <v>0.0592</v>
      </c>
      <c r="I168" s="8">
        <v>0.018657574374</v>
      </c>
      <c r="J168" s="9">
        <v>8.0</v>
      </c>
      <c r="K168" s="29" t="str">
        <f t="shared" si="1"/>
        <v>SMB</v>
      </c>
      <c r="L168" s="30">
        <f t="shared" si="2"/>
        <v>5.94</v>
      </c>
      <c r="M168" s="31">
        <f>PERCENTRANK(B$3:B$202,B168)*'Input Resturant Brands Scoring '!$B$3</f>
        <v>5.985</v>
      </c>
      <c r="N168" s="32">
        <f>(1-PERCENTRANK(J$3:J$202,J168))*'Input Resturant Brands Scoring '!$B$5</f>
        <v>11.574</v>
      </c>
      <c r="O168" s="31">
        <f>(1-PERCENTRANK(I$3:I$202,I168))*'Input Resturant Brands Scoring '!$B$6</f>
        <v>6.036</v>
      </c>
      <c r="P168" s="31">
        <f t="shared" si="3"/>
        <v>17.61</v>
      </c>
      <c r="Q168" s="31">
        <f>PERCENTRANK(L$3:L$202,L168)*'Input Resturant Brands Scoring '!$B$7</f>
        <v>22.68</v>
      </c>
      <c r="R168" s="31">
        <f t="shared" si="4"/>
        <v>46.275</v>
      </c>
      <c r="S168" s="12">
        <f t="shared" si="5"/>
        <v>126</v>
      </c>
      <c r="T168" s="12" t="str">
        <f t="shared" si="13"/>
        <v>B</v>
      </c>
      <c r="U168" s="33">
        <f t="shared" si="7"/>
        <v>86248.8</v>
      </c>
      <c r="V168" s="13">
        <f t="shared" si="8"/>
        <v>0.3</v>
      </c>
      <c r="W168" s="34">
        <f t="shared" si="9"/>
        <v>0</v>
      </c>
      <c r="X168" s="4">
        <f>IF(T168="S", B168*(1+'Input Fee and Elasticity Inputs'!$B$9), IF(T168="A", B168*(1+'Input Fee and Elasticity Inputs'!$B$10), IF(T168="B", B168*(1+'Input Fee and Elasticity Inputs'!$B$11), B168*(1+'Input Fee and Elasticity Inputs'!$B$12))))</f>
        <v>13794</v>
      </c>
      <c r="Y168" s="33">
        <f t="shared" si="10"/>
        <v>5.94</v>
      </c>
      <c r="Z168" s="33">
        <f t="shared" si="11"/>
        <v>81936.36</v>
      </c>
      <c r="AA168" s="33">
        <f t="shared" si="12"/>
        <v>-4312.44</v>
      </c>
    </row>
    <row r="169">
      <c r="A169" s="3" t="s">
        <v>176</v>
      </c>
      <c r="B169" s="4">
        <v>14364.0</v>
      </c>
      <c r="C169" s="5">
        <v>6.0</v>
      </c>
      <c r="D169" s="5">
        <v>7.0</v>
      </c>
      <c r="E169" s="6">
        <v>0.06</v>
      </c>
      <c r="F169" s="7">
        <v>26.9</v>
      </c>
      <c r="G169" s="6">
        <v>0.3</v>
      </c>
      <c r="H169" s="8">
        <v>0.0508</v>
      </c>
      <c r="I169" s="8">
        <v>0.021659550474000002</v>
      </c>
      <c r="J169" s="9">
        <v>15.0</v>
      </c>
      <c r="K169" s="29" t="str">
        <f t="shared" si="1"/>
        <v>SMB</v>
      </c>
      <c r="L169" s="30">
        <f t="shared" si="2"/>
        <v>8.07</v>
      </c>
      <c r="M169" s="31">
        <f>PERCENTRANK(B$3:B$202,B169)*'Input Resturant Brands Scoring '!$B$3</f>
        <v>5.81</v>
      </c>
      <c r="N169" s="32">
        <f>(1-PERCENTRANK(J$3:J$202,J169))*'Input Resturant Brands Scoring '!$B$5</f>
        <v>5.436</v>
      </c>
      <c r="O169" s="31">
        <f>(1-PERCENTRANK(I$3:I$202,I169))*'Input Resturant Brands Scoring '!$B$6</f>
        <v>4.644</v>
      </c>
      <c r="P169" s="31">
        <f t="shared" si="3"/>
        <v>10.08</v>
      </c>
      <c r="Q169" s="31">
        <f>PERCENTRANK(L$3:L$202,L169)*'Input Resturant Brands Scoring '!$B$7</f>
        <v>32.725</v>
      </c>
      <c r="R169" s="31">
        <f t="shared" si="4"/>
        <v>48.615</v>
      </c>
      <c r="S169" s="12">
        <f t="shared" si="5"/>
        <v>111</v>
      </c>
      <c r="T169" s="12" t="str">
        <f t="shared" si="13"/>
        <v>B</v>
      </c>
      <c r="U169" s="33">
        <f t="shared" si="7"/>
        <v>115917.48</v>
      </c>
      <c r="V169" s="13">
        <f t="shared" si="8"/>
        <v>0.3</v>
      </c>
      <c r="W169" s="34">
        <f t="shared" si="9"/>
        <v>0</v>
      </c>
      <c r="X169" s="4">
        <f>IF(T169="S", B169*(1+'Input Fee and Elasticity Inputs'!$B$9), IF(T169="A", B169*(1+'Input Fee and Elasticity Inputs'!$B$10), IF(T169="B", B169*(1+'Input Fee and Elasticity Inputs'!$B$11), B169*(1+'Input Fee and Elasticity Inputs'!$B$12))))</f>
        <v>13645.8</v>
      </c>
      <c r="Y169" s="33">
        <f t="shared" si="10"/>
        <v>8.07</v>
      </c>
      <c r="Z169" s="33">
        <f t="shared" si="11"/>
        <v>110121.606</v>
      </c>
      <c r="AA169" s="33">
        <f t="shared" si="12"/>
        <v>-5795.874</v>
      </c>
    </row>
    <row r="170">
      <c r="A170" s="3" t="s">
        <v>177</v>
      </c>
      <c r="B170" s="4">
        <v>14256.0</v>
      </c>
      <c r="C170" s="5">
        <v>8.0</v>
      </c>
      <c r="D170" s="5">
        <v>19.0</v>
      </c>
      <c r="E170" s="6">
        <v>0.87</v>
      </c>
      <c r="F170" s="7">
        <v>18.6</v>
      </c>
      <c r="G170" s="6">
        <v>0.3</v>
      </c>
      <c r="H170" s="8">
        <v>0.1252</v>
      </c>
      <c r="I170" s="8">
        <v>0.024076386930000002</v>
      </c>
      <c r="J170" s="9">
        <v>5.0</v>
      </c>
      <c r="K170" s="29" t="str">
        <f t="shared" si="1"/>
        <v>SMB</v>
      </c>
      <c r="L170" s="30">
        <f t="shared" si="2"/>
        <v>5.58</v>
      </c>
      <c r="M170" s="31">
        <f>PERCENTRANK(B$3:B$202,B170)*'Input Resturant Brands Scoring '!$B$3</f>
        <v>5.635</v>
      </c>
      <c r="N170" s="32">
        <f>(1-PERCENTRANK(J$3:J$202,J170))*'Input Resturant Brands Scoring '!$B$5</f>
        <v>15.462</v>
      </c>
      <c r="O170" s="31">
        <f>(1-PERCENTRANK(I$3:I$202,I170))*'Input Resturant Brands Scoring '!$B$6</f>
        <v>2.952</v>
      </c>
      <c r="P170" s="31">
        <f t="shared" si="3"/>
        <v>18.414</v>
      </c>
      <c r="Q170" s="31">
        <f>PERCENTRANK(L$3:L$202,L170)*'Input Resturant Brands Scoring '!$B$7</f>
        <v>19.705</v>
      </c>
      <c r="R170" s="31">
        <f t="shared" si="4"/>
        <v>43.754</v>
      </c>
      <c r="S170" s="12">
        <f t="shared" si="5"/>
        <v>136</v>
      </c>
      <c r="T170" s="12" t="str">
        <f t="shared" si="13"/>
        <v>B</v>
      </c>
      <c r="U170" s="33">
        <f t="shared" si="7"/>
        <v>79548.48</v>
      </c>
      <c r="V170" s="13">
        <f t="shared" si="8"/>
        <v>0.3</v>
      </c>
      <c r="W170" s="34">
        <f t="shared" si="9"/>
        <v>0</v>
      </c>
      <c r="X170" s="4">
        <f>IF(T170="S", B170*(1+'Input Fee and Elasticity Inputs'!$B$9), IF(T170="A", B170*(1+'Input Fee and Elasticity Inputs'!$B$10), IF(T170="B", B170*(1+'Input Fee and Elasticity Inputs'!$B$11), B170*(1+'Input Fee and Elasticity Inputs'!$B$12))))</f>
        <v>13543.2</v>
      </c>
      <c r="Y170" s="33">
        <f t="shared" si="10"/>
        <v>5.58</v>
      </c>
      <c r="Z170" s="33">
        <f t="shared" si="11"/>
        <v>75571.056</v>
      </c>
      <c r="AA170" s="33">
        <f t="shared" si="12"/>
        <v>-3977.424</v>
      </c>
    </row>
    <row r="171">
      <c r="A171" s="3" t="s">
        <v>178</v>
      </c>
      <c r="B171" s="4">
        <v>14112.0</v>
      </c>
      <c r="C171" s="5">
        <v>6.0</v>
      </c>
      <c r="D171" s="5">
        <v>27.0</v>
      </c>
      <c r="E171" s="6">
        <v>0.42</v>
      </c>
      <c r="F171" s="7">
        <v>15.8</v>
      </c>
      <c r="G171" s="6">
        <v>0.3</v>
      </c>
      <c r="H171" s="8">
        <v>0.0392</v>
      </c>
      <c r="I171" s="8">
        <v>0.024434145468</v>
      </c>
      <c r="J171" s="9">
        <v>14.0</v>
      </c>
      <c r="K171" s="29" t="str">
        <f t="shared" si="1"/>
        <v>SMB</v>
      </c>
      <c r="L171" s="30">
        <f t="shared" si="2"/>
        <v>4.74</v>
      </c>
      <c r="M171" s="31">
        <f>PERCENTRANK(B$3:B$202,B171)*'Input Resturant Brands Scoring '!$B$3</f>
        <v>5.46</v>
      </c>
      <c r="N171" s="32">
        <f>(1-PERCENTRANK(J$3:J$202,J171))*'Input Resturant Brands Scoring '!$B$5</f>
        <v>6.426</v>
      </c>
      <c r="O171" s="31">
        <f>(1-PERCENTRANK(I$3:I$202,I171))*'Input Resturant Brands Scoring '!$B$6</f>
        <v>2.712</v>
      </c>
      <c r="P171" s="31">
        <f t="shared" si="3"/>
        <v>9.138</v>
      </c>
      <c r="Q171" s="31">
        <f>PERCENTRANK(L$3:L$202,L171)*'Input Resturant Brands Scoring '!$B$7</f>
        <v>10.185</v>
      </c>
      <c r="R171" s="31">
        <f t="shared" si="4"/>
        <v>24.783</v>
      </c>
      <c r="S171" s="12">
        <f t="shared" si="5"/>
        <v>193</v>
      </c>
      <c r="T171" s="12" t="str">
        <f t="shared" si="13"/>
        <v>C</v>
      </c>
      <c r="U171" s="33">
        <f t="shared" si="7"/>
        <v>66890.88</v>
      </c>
      <c r="V171" s="13">
        <f t="shared" si="8"/>
        <v>0.3</v>
      </c>
      <c r="W171" s="34">
        <f t="shared" si="9"/>
        <v>0</v>
      </c>
      <c r="X171" s="4">
        <f>IF(T171="S", B171*(1+'Input Fee and Elasticity Inputs'!$B$9), IF(T171="A", B171*(1+'Input Fee and Elasticity Inputs'!$B$10), IF(T171="B", B171*(1+'Input Fee and Elasticity Inputs'!$B$11), B171*(1+'Input Fee and Elasticity Inputs'!$B$12))))</f>
        <v>11995.2</v>
      </c>
      <c r="Y171" s="33">
        <f t="shared" si="10"/>
        <v>4.74</v>
      </c>
      <c r="Z171" s="33">
        <f t="shared" si="11"/>
        <v>56857.248</v>
      </c>
      <c r="AA171" s="33">
        <f t="shared" si="12"/>
        <v>-10033.632</v>
      </c>
    </row>
    <row r="172">
      <c r="A172" s="3" t="s">
        <v>179</v>
      </c>
      <c r="B172" s="4">
        <v>13776.0</v>
      </c>
      <c r="C172" s="5">
        <v>9.0</v>
      </c>
      <c r="D172" s="5">
        <v>19.0</v>
      </c>
      <c r="E172" s="6">
        <v>0.52</v>
      </c>
      <c r="F172" s="7">
        <v>16.7</v>
      </c>
      <c r="G172" s="6">
        <v>0.29</v>
      </c>
      <c r="H172" s="8">
        <v>0.0328</v>
      </c>
      <c r="I172" s="8">
        <v>0.010077351383999998</v>
      </c>
      <c r="J172" s="9">
        <v>22.0</v>
      </c>
      <c r="K172" s="29" t="str">
        <f t="shared" si="1"/>
        <v>SMB</v>
      </c>
      <c r="L172" s="30">
        <f t="shared" si="2"/>
        <v>4.843</v>
      </c>
      <c r="M172" s="31">
        <f>PERCENTRANK(B$3:B$202,B172)*'Input Resturant Brands Scoring '!$B$3</f>
        <v>5.285</v>
      </c>
      <c r="N172" s="32">
        <f>(1-PERCENTRANK(J$3:J$202,J172))*'Input Resturant Brands Scoring '!$B$5</f>
        <v>3.078</v>
      </c>
      <c r="O172" s="31">
        <f>(1-PERCENTRANK(I$3:I$202,I172))*'Input Resturant Brands Scoring '!$B$6</f>
        <v>11.82</v>
      </c>
      <c r="P172" s="31">
        <f t="shared" si="3"/>
        <v>14.898</v>
      </c>
      <c r="Q172" s="31">
        <f>PERCENTRANK(L$3:L$202,L172)*'Input Resturant Brands Scoring '!$B$7</f>
        <v>11.62</v>
      </c>
      <c r="R172" s="31">
        <f t="shared" si="4"/>
        <v>31.803</v>
      </c>
      <c r="S172" s="12">
        <f t="shared" si="5"/>
        <v>179</v>
      </c>
      <c r="T172" s="12" t="str">
        <f t="shared" si="13"/>
        <v>C</v>
      </c>
      <c r="U172" s="33">
        <f t="shared" si="7"/>
        <v>66717.168</v>
      </c>
      <c r="V172" s="13">
        <f t="shared" si="8"/>
        <v>0.3</v>
      </c>
      <c r="W172" s="34">
        <f t="shared" si="9"/>
        <v>0.01</v>
      </c>
      <c r="X172" s="4">
        <f>IF(T172="S", B172*(1+'Input Fee and Elasticity Inputs'!$B$9), IF(T172="A", B172*(1+'Input Fee and Elasticity Inputs'!$B$10), IF(T172="B", B172*(1+'Input Fee and Elasticity Inputs'!$B$11), B172*(1+'Input Fee and Elasticity Inputs'!$B$12))))</f>
        <v>11709.6</v>
      </c>
      <c r="Y172" s="33">
        <f t="shared" si="10"/>
        <v>5.01</v>
      </c>
      <c r="Z172" s="33">
        <f t="shared" si="11"/>
        <v>58665.096</v>
      </c>
      <c r="AA172" s="33">
        <f t="shared" si="12"/>
        <v>-8052.072</v>
      </c>
    </row>
    <row r="173">
      <c r="A173" s="3" t="s">
        <v>180</v>
      </c>
      <c r="B173" s="4">
        <v>12672.0</v>
      </c>
      <c r="C173" s="5">
        <v>8.0</v>
      </c>
      <c r="D173" s="5">
        <v>19.0</v>
      </c>
      <c r="E173" s="6">
        <v>0.63</v>
      </c>
      <c r="F173" s="7">
        <v>23.4</v>
      </c>
      <c r="G173" s="6">
        <v>0.3</v>
      </c>
      <c r="H173" s="8">
        <v>0.0492</v>
      </c>
      <c r="I173" s="8">
        <v>0.009803251068</v>
      </c>
      <c r="J173" s="9">
        <v>9.0</v>
      </c>
      <c r="K173" s="29" t="str">
        <f t="shared" si="1"/>
        <v>SMB</v>
      </c>
      <c r="L173" s="30">
        <f t="shared" si="2"/>
        <v>7.02</v>
      </c>
      <c r="M173" s="31">
        <f>PERCENTRANK(B$3:B$202,B173)*'Input Resturant Brands Scoring '!$B$3</f>
        <v>5.11</v>
      </c>
      <c r="N173" s="32">
        <f>(1-PERCENTRANK(J$3:J$202,J173))*'Input Resturant Brands Scoring '!$B$5</f>
        <v>10.044</v>
      </c>
      <c r="O173" s="31">
        <f>(1-PERCENTRANK(I$3:I$202,I173))*'Input Resturant Brands Scoring '!$B$6</f>
        <v>12</v>
      </c>
      <c r="P173" s="31">
        <f t="shared" si="3"/>
        <v>22.044</v>
      </c>
      <c r="Q173" s="31">
        <f>PERCENTRANK(L$3:L$202,L173)*'Input Resturant Brands Scoring '!$B$7</f>
        <v>28.665</v>
      </c>
      <c r="R173" s="31">
        <f t="shared" si="4"/>
        <v>55.819</v>
      </c>
      <c r="S173" s="12">
        <f t="shared" si="5"/>
        <v>70</v>
      </c>
      <c r="T173" s="12" t="str">
        <f t="shared" si="13"/>
        <v>B</v>
      </c>
      <c r="U173" s="33">
        <f t="shared" si="7"/>
        <v>88957.44</v>
      </c>
      <c r="V173" s="13">
        <f t="shared" si="8"/>
        <v>0.3</v>
      </c>
      <c r="W173" s="34">
        <f t="shared" si="9"/>
        <v>0</v>
      </c>
      <c r="X173" s="4">
        <f>IF(T173="S", B173*(1+'Input Fee and Elasticity Inputs'!$B$9), IF(T173="A", B173*(1+'Input Fee and Elasticity Inputs'!$B$10), IF(T173="B", B173*(1+'Input Fee and Elasticity Inputs'!$B$11), B173*(1+'Input Fee and Elasticity Inputs'!$B$12))))</f>
        <v>12038.4</v>
      </c>
      <c r="Y173" s="33">
        <f t="shared" si="10"/>
        <v>7.02</v>
      </c>
      <c r="Z173" s="33">
        <f t="shared" si="11"/>
        <v>84509.568</v>
      </c>
      <c r="AA173" s="33">
        <f t="shared" si="12"/>
        <v>-4447.872</v>
      </c>
    </row>
    <row r="174">
      <c r="A174" s="3" t="s">
        <v>181</v>
      </c>
      <c r="B174" s="4">
        <v>11748.0</v>
      </c>
      <c r="C174" s="5">
        <v>7.0</v>
      </c>
      <c r="D174" s="5">
        <v>16.0</v>
      </c>
      <c r="E174" s="6">
        <v>0.34</v>
      </c>
      <c r="F174" s="7">
        <v>14.9</v>
      </c>
      <c r="G174" s="6">
        <v>0.26</v>
      </c>
      <c r="H174" s="8">
        <v>0.0</v>
      </c>
      <c r="I174" s="8">
        <v>0.020941194264000002</v>
      </c>
      <c r="J174" s="9">
        <v>4.0</v>
      </c>
      <c r="K174" s="29" t="str">
        <f t="shared" si="1"/>
        <v>SMB</v>
      </c>
      <c r="L174" s="30">
        <f t="shared" si="2"/>
        <v>3.874</v>
      </c>
      <c r="M174" s="31">
        <f>PERCENTRANK(B$3:B$202,B174)*'Input Resturant Brands Scoring '!$B$3</f>
        <v>4.935</v>
      </c>
      <c r="N174" s="32">
        <f>(1-PERCENTRANK(J$3:J$202,J174))*'Input Resturant Brands Scoring '!$B$5</f>
        <v>17.1</v>
      </c>
      <c r="O174" s="31">
        <f>(1-PERCENTRANK(I$3:I$202,I174))*'Input Resturant Brands Scoring '!$B$6</f>
        <v>4.944</v>
      </c>
      <c r="P174" s="31">
        <f t="shared" si="3"/>
        <v>22.044</v>
      </c>
      <c r="Q174" s="31">
        <f>PERCENTRANK(L$3:L$202,L174)*'Input Resturant Brands Scoring '!$B$7</f>
        <v>2.8</v>
      </c>
      <c r="R174" s="31">
        <f t="shared" si="4"/>
        <v>29.779</v>
      </c>
      <c r="S174" s="12">
        <f t="shared" si="5"/>
        <v>185</v>
      </c>
      <c r="T174" s="12" t="str">
        <f t="shared" si="13"/>
        <v>C</v>
      </c>
      <c r="U174" s="33">
        <f t="shared" si="7"/>
        <v>45511.752</v>
      </c>
      <c r="V174" s="13">
        <f t="shared" si="8"/>
        <v>0.29</v>
      </c>
      <c r="W174" s="34">
        <f t="shared" si="9"/>
        <v>0.03</v>
      </c>
      <c r="X174" s="4">
        <f>IF(T174="S", B174*(1+'Input Fee and Elasticity Inputs'!$B$9), IF(T174="A", B174*(1+'Input Fee and Elasticity Inputs'!$B$10), IF(T174="B", B174*(1+'Input Fee and Elasticity Inputs'!$B$11), B174*(1+'Input Fee and Elasticity Inputs'!$B$12))))</f>
        <v>9985.8</v>
      </c>
      <c r="Y174" s="33">
        <f t="shared" si="10"/>
        <v>4.321</v>
      </c>
      <c r="Z174" s="33">
        <f t="shared" si="11"/>
        <v>43148.6418</v>
      </c>
      <c r="AA174" s="33">
        <f t="shared" si="12"/>
        <v>-2363.1102</v>
      </c>
    </row>
    <row r="175">
      <c r="A175" s="3" t="s">
        <v>182</v>
      </c>
      <c r="B175" s="4">
        <v>11664.0</v>
      </c>
      <c r="C175" s="5">
        <v>11.0</v>
      </c>
      <c r="D175" s="5">
        <v>69.0</v>
      </c>
      <c r="E175" s="6">
        <v>0.67</v>
      </c>
      <c r="F175" s="7">
        <v>25.1</v>
      </c>
      <c r="G175" s="6">
        <v>0.3</v>
      </c>
      <c r="H175" s="8">
        <v>0.044</v>
      </c>
      <c r="I175" s="8">
        <v>0.024423904463999998</v>
      </c>
      <c r="J175" s="9">
        <v>13.0</v>
      </c>
      <c r="K175" s="29" t="str">
        <f t="shared" si="1"/>
        <v>SMB</v>
      </c>
      <c r="L175" s="30">
        <f t="shared" si="2"/>
        <v>7.53</v>
      </c>
      <c r="M175" s="31">
        <f>PERCENTRANK(B$3:B$202,B175)*'Input Resturant Brands Scoring '!$B$3</f>
        <v>4.76</v>
      </c>
      <c r="N175" s="32">
        <f>(1-PERCENTRANK(J$3:J$202,J175))*'Input Resturant Brands Scoring '!$B$5</f>
        <v>7.056</v>
      </c>
      <c r="O175" s="31">
        <f>(1-PERCENTRANK(I$3:I$202,I175))*'Input Resturant Brands Scoring '!$B$6</f>
        <v>2.772</v>
      </c>
      <c r="P175" s="31">
        <f t="shared" si="3"/>
        <v>9.828</v>
      </c>
      <c r="Q175" s="31">
        <f>PERCENTRANK(L$3:L$202,L175)*'Input Resturant Brands Scoring '!$B$7</f>
        <v>31.465</v>
      </c>
      <c r="R175" s="31">
        <f t="shared" si="4"/>
        <v>46.053</v>
      </c>
      <c r="S175" s="12">
        <f t="shared" si="5"/>
        <v>128</v>
      </c>
      <c r="T175" s="12" t="str">
        <f t="shared" si="13"/>
        <v>B</v>
      </c>
      <c r="U175" s="33">
        <f t="shared" si="7"/>
        <v>87829.92</v>
      </c>
      <c r="V175" s="13">
        <f t="shared" si="8"/>
        <v>0.3</v>
      </c>
      <c r="W175" s="34">
        <f t="shared" si="9"/>
        <v>0</v>
      </c>
      <c r="X175" s="4">
        <f>IF(T175="S", B175*(1+'Input Fee and Elasticity Inputs'!$B$9), IF(T175="A", B175*(1+'Input Fee and Elasticity Inputs'!$B$10), IF(T175="B", B175*(1+'Input Fee and Elasticity Inputs'!$B$11), B175*(1+'Input Fee and Elasticity Inputs'!$B$12))))</f>
        <v>11080.8</v>
      </c>
      <c r="Y175" s="33">
        <f t="shared" si="10"/>
        <v>7.53</v>
      </c>
      <c r="Z175" s="33">
        <f t="shared" si="11"/>
        <v>83438.424</v>
      </c>
      <c r="AA175" s="33">
        <f t="shared" si="12"/>
        <v>-4391.496</v>
      </c>
    </row>
    <row r="176">
      <c r="A176" s="3" t="s">
        <v>183</v>
      </c>
      <c r="B176" s="4">
        <v>11460.0</v>
      </c>
      <c r="C176" s="5">
        <v>6.0</v>
      </c>
      <c r="D176" s="5">
        <v>26.0</v>
      </c>
      <c r="E176" s="6">
        <v>1.0</v>
      </c>
      <c r="F176" s="7">
        <v>14.4</v>
      </c>
      <c r="G176" s="6">
        <v>0.24</v>
      </c>
      <c r="H176" s="8">
        <v>0.0408</v>
      </c>
      <c r="I176" s="8">
        <v>0.013983325974</v>
      </c>
      <c r="J176" s="9">
        <v>26.0</v>
      </c>
      <c r="K176" s="29" t="str">
        <f t="shared" si="1"/>
        <v>SMB</v>
      </c>
      <c r="L176" s="30">
        <f t="shared" si="2"/>
        <v>3.456</v>
      </c>
      <c r="M176" s="31">
        <f>PERCENTRANK(B$3:B$202,B176)*'Input Resturant Brands Scoring '!$B$3</f>
        <v>4.585</v>
      </c>
      <c r="N176" s="32">
        <f>(1-PERCENTRANK(J$3:J$202,J176))*'Input Resturant Brands Scoring '!$B$5</f>
        <v>1.998</v>
      </c>
      <c r="O176" s="31">
        <f>(1-PERCENTRANK(I$3:I$202,I176))*'Input Resturant Brands Scoring '!$B$6</f>
        <v>10.008</v>
      </c>
      <c r="P176" s="31">
        <f t="shared" si="3"/>
        <v>12.006</v>
      </c>
      <c r="Q176" s="31">
        <f>PERCENTRANK(L$3:L$202,L176)*'Input Resturant Brands Scoring '!$B$7</f>
        <v>1.225</v>
      </c>
      <c r="R176" s="31">
        <f t="shared" si="4"/>
        <v>17.816</v>
      </c>
      <c r="S176" s="12">
        <f t="shared" si="5"/>
        <v>197</v>
      </c>
      <c r="T176" s="12" t="str">
        <f t="shared" si="13"/>
        <v>C</v>
      </c>
      <c r="U176" s="33">
        <f t="shared" si="7"/>
        <v>39605.76</v>
      </c>
      <c r="V176" s="13">
        <f t="shared" si="8"/>
        <v>0.27</v>
      </c>
      <c r="W176" s="34">
        <f t="shared" si="9"/>
        <v>0.03</v>
      </c>
      <c r="X176" s="4">
        <f>IF(T176="S", B176*(1+'Input Fee and Elasticity Inputs'!$B$9), IF(T176="A", B176*(1+'Input Fee and Elasticity Inputs'!$B$10), IF(T176="B", B176*(1+'Input Fee and Elasticity Inputs'!$B$11), B176*(1+'Input Fee and Elasticity Inputs'!$B$12))))</f>
        <v>9741</v>
      </c>
      <c r="Y176" s="33">
        <f t="shared" si="10"/>
        <v>3.888</v>
      </c>
      <c r="Z176" s="33">
        <f t="shared" si="11"/>
        <v>37873.008</v>
      </c>
      <c r="AA176" s="33">
        <f t="shared" si="12"/>
        <v>-1732.752</v>
      </c>
    </row>
    <row r="177">
      <c r="A177" s="3" t="s">
        <v>184</v>
      </c>
      <c r="B177" s="4">
        <v>11424.0</v>
      </c>
      <c r="C177" s="5">
        <v>10.0</v>
      </c>
      <c r="D177" s="5">
        <v>11.0</v>
      </c>
      <c r="E177" s="6">
        <v>0.58</v>
      </c>
      <c r="F177" s="7">
        <v>18.9</v>
      </c>
      <c r="G177" s="6">
        <v>0.28</v>
      </c>
      <c r="H177" s="8">
        <v>0.0812</v>
      </c>
      <c r="I177" s="8">
        <v>0.019640651904</v>
      </c>
      <c r="J177" s="9">
        <v>9.0</v>
      </c>
      <c r="K177" s="29" t="str">
        <f t="shared" si="1"/>
        <v>SMB</v>
      </c>
      <c r="L177" s="30">
        <f t="shared" si="2"/>
        <v>5.292</v>
      </c>
      <c r="M177" s="31">
        <f>PERCENTRANK(B$3:B$202,B177)*'Input Resturant Brands Scoring '!$B$3</f>
        <v>4.41</v>
      </c>
      <c r="N177" s="32">
        <f>(1-PERCENTRANK(J$3:J$202,J177))*'Input Resturant Brands Scoring '!$B$5</f>
        <v>10.044</v>
      </c>
      <c r="O177" s="31">
        <f>(1-PERCENTRANK(I$3:I$202,I177))*'Input Resturant Brands Scoring '!$B$6</f>
        <v>5.484</v>
      </c>
      <c r="P177" s="31">
        <f t="shared" si="3"/>
        <v>15.528</v>
      </c>
      <c r="Q177" s="31">
        <f>PERCENTRANK(L$3:L$202,L177)*'Input Resturant Brands Scoring '!$B$7</f>
        <v>16.17</v>
      </c>
      <c r="R177" s="31">
        <f t="shared" si="4"/>
        <v>36.108</v>
      </c>
      <c r="S177" s="12">
        <f t="shared" si="5"/>
        <v>160</v>
      </c>
      <c r="T177" s="12" t="str">
        <f t="shared" si="13"/>
        <v>C</v>
      </c>
      <c r="U177" s="33">
        <f t="shared" si="7"/>
        <v>60455.808</v>
      </c>
      <c r="V177" s="13">
        <f t="shared" si="8"/>
        <v>0.3</v>
      </c>
      <c r="W177" s="34">
        <f t="shared" si="9"/>
        <v>0.02</v>
      </c>
      <c r="X177" s="4">
        <f>IF(T177="S", B177*(1+'Input Fee and Elasticity Inputs'!$B$9), IF(T177="A", B177*(1+'Input Fee and Elasticity Inputs'!$B$10), IF(T177="B", B177*(1+'Input Fee and Elasticity Inputs'!$B$11), B177*(1+'Input Fee and Elasticity Inputs'!$B$12))))</f>
        <v>9710.4</v>
      </c>
      <c r="Y177" s="33">
        <f t="shared" si="10"/>
        <v>5.67</v>
      </c>
      <c r="Z177" s="33">
        <f t="shared" si="11"/>
        <v>55057.968</v>
      </c>
      <c r="AA177" s="33">
        <f t="shared" si="12"/>
        <v>-5397.84</v>
      </c>
    </row>
    <row r="178">
      <c r="A178" s="3" t="s">
        <v>185</v>
      </c>
      <c r="B178" s="4">
        <v>11400.0</v>
      </c>
      <c r="C178" s="5">
        <v>6.0</v>
      </c>
      <c r="D178" s="5">
        <v>17.0</v>
      </c>
      <c r="E178" s="6">
        <v>0.98</v>
      </c>
      <c r="F178" s="7">
        <v>14.4</v>
      </c>
      <c r="G178" s="6">
        <v>0.3</v>
      </c>
      <c r="H178" s="8">
        <v>0.0276</v>
      </c>
      <c r="I178" s="8">
        <v>0.014944378368</v>
      </c>
      <c r="J178" s="9">
        <v>8.0</v>
      </c>
      <c r="K178" s="29" t="str">
        <f t="shared" si="1"/>
        <v>SMB</v>
      </c>
      <c r="L178" s="30">
        <f t="shared" si="2"/>
        <v>4.32</v>
      </c>
      <c r="M178" s="31">
        <f>PERCENTRANK(B$3:B$202,B178)*'Input Resturant Brands Scoring '!$B$3</f>
        <v>4.235</v>
      </c>
      <c r="N178" s="32">
        <f>(1-PERCENTRANK(J$3:J$202,J178))*'Input Resturant Brands Scoring '!$B$5</f>
        <v>11.574</v>
      </c>
      <c r="O178" s="31">
        <f>(1-PERCENTRANK(I$3:I$202,I178))*'Input Resturant Brands Scoring '!$B$6</f>
        <v>8.628</v>
      </c>
      <c r="P178" s="31">
        <f t="shared" si="3"/>
        <v>20.202</v>
      </c>
      <c r="Q178" s="31">
        <f>PERCENTRANK(L$3:L$202,L178)*'Input Resturant Brands Scoring '!$B$7</f>
        <v>5.985</v>
      </c>
      <c r="R178" s="31">
        <f t="shared" si="4"/>
        <v>30.422</v>
      </c>
      <c r="S178" s="12">
        <f t="shared" si="5"/>
        <v>184</v>
      </c>
      <c r="T178" s="12" t="str">
        <f t="shared" si="13"/>
        <v>C</v>
      </c>
      <c r="U178" s="33">
        <f t="shared" si="7"/>
        <v>49248</v>
      </c>
      <c r="V178" s="13">
        <f t="shared" si="8"/>
        <v>0.3</v>
      </c>
      <c r="W178" s="34">
        <f t="shared" si="9"/>
        <v>0</v>
      </c>
      <c r="X178" s="4">
        <f>IF(T178="S", B178*(1+'Input Fee and Elasticity Inputs'!$B$9), IF(T178="A", B178*(1+'Input Fee and Elasticity Inputs'!$B$10), IF(T178="B", B178*(1+'Input Fee and Elasticity Inputs'!$B$11), B178*(1+'Input Fee and Elasticity Inputs'!$B$12))))</f>
        <v>9690</v>
      </c>
      <c r="Y178" s="33">
        <f t="shared" si="10"/>
        <v>4.32</v>
      </c>
      <c r="Z178" s="33">
        <f t="shared" si="11"/>
        <v>41860.8</v>
      </c>
      <c r="AA178" s="33">
        <f t="shared" si="12"/>
        <v>-7387.2</v>
      </c>
    </row>
    <row r="179">
      <c r="A179" s="3" t="s">
        <v>186</v>
      </c>
      <c r="B179" s="4">
        <v>10248.0</v>
      </c>
      <c r="C179" s="5">
        <v>6.0</v>
      </c>
      <c r="D179" s="5">
        <v>13.0</v>
      </c>
      <c r="E179" s="6">
        <v>0.92</v>
      </c>
      <c r="F179" s="7">
        <v>20.8</v>
      </c>
      <c r="G179" s="6">
        <v>0.26</v>
      </c>
      <c r="H179" s="8">
        <v>0.0676</v>
      </c>
      <c r="I179" s="8">
        <v>0.010528988868</v>
      </c>
      <c r="J179" s="9">
        <v>23.0</v>
      </c>
      <c r="K179" s="29" t="str">
        <f t="shared" si="1"/>
        <v>SMB</v>
      </c>
      <c r="L179" s="30">
        <f t="shared" si="2"/>
        <v>5.408</v>
      </c>
      <c r="M179" s="31">
        <f>PERCENTRANK(B$3:B$202,B179)*'Input Resturant Brands Scoring '!$B$3</f>
        <v>4.06</v>
      </c>
      <c r="N179" s="32">
        <f>(1-PERCENTRANK(J$3:J$202,J179))*'Input Resturant Brands Scoring '!$B$5</f>
        <v>2.538</v>
      </c>
      <c r="O179" s="31">
        <f>(1-PERCENTRANK(I$3:I$202,I179))*'Input Resturant Brands Scoring '!$B$6</f>
        <v>11.64</v>
      </c>
      <c r="P179" s="31">
        <f t="shared" si="3"/>
        <v>14.178</v>
      </c>
      <c r="Q179" s="31">
        <f>PERCENTRANK(L$3:L$202,L179)*'Input Resturant Brands Scoring '!$B$7</f>
        <v>17.605</v>
      </c>
      <c r="R179" s="31">
        <f t="shared" si="4"/>
        <v>35.843</v>
      </c>
      <c r="S179" s="12">
        <f t="shared" si="5"/>
        <v>163</v>
      </c>
      <c r="T179" s="12" t="str">
        <f t="shared" si="13"/>
        <v>C</v>
      </c>
      <c r="U179" s="33">
        <f t="shared" si="7"/>
        <v>55421.184</v>
      </c>
      <c r="V179" s="13">
        <f t="shared" si="8"/>
        <v>0.29</v>
      </c>
      <c r="W179" s="34">
        <f t="shared" si="9"/>
        <v>0.03</v>
      </c>
      <c r="X179" s="4">
        <f>IF(T179="S", B179*(1+'Input Fee and Elasticity Inputs'!$B$9), IF(T179="A", B179*(1+'Input Fee and Elasticity Inputs'!$B$10), IF(T179="B", B179*(1+'Input Fee and Elasticity Inputs'!$B$11), B179*(1+'Input Fee and Elasticity Inputs'!$B$12))))</f>
        <v>8710.8</v>
      </c>
      <c r="Y179" s="33">
        <f t="shared" si="10"/>
        <v>6.032</v>
      </c>
      <c r="Z179" s="33">
        <f t="shared" si="11"/>
        <v>52543.5456</v>
      </c>
      <c r="AA179" s="33">
        <f t="shared" si="12"/>
        <v>-2877.6384</v>
      </c>
    </row>
    <row r="180">
      <c r="A180" s="3" t="s">
        <v>187</v>
      </c>
      <c r="B180" s="4">
        <v>10140.0</v>
      </c>
      <c r="C180" s="5">
        <v>6.0</v>
      </c>
      <c r="D180" s="5">
        <v>10.0</v>
      </c>
      <c r="E180" s="6">
        <v>0.73</v>
      </c>
      <c r="F180" s="7">
        <v>20.2</v>
      </c>
      <c r="G180" s="6">
        <v>0.3</v>
      </c>
      <c r="H180" s="8">
        <v>0.0476</v>
      </c>
      <c r="I180" s="8">
        <v>0.023329417332</v>
      </c>
      <c r="J180" s="9">
        <v>17.0</v>
      </c>
      <c r="K180" s="29" t="str">
        <f t="shared" si="1"/>
        <v>SMB</v>
      </c>
      <c r="L180" s="30">
        <f t="shared" si="2"/>
        <v>6.06</v>
      </c>
      <c r="M180" s="31">
        <f>PERCENTRANK(B$3:B$202,B180)*'Input Resturant Brands Scoring '!$B$3</f>
        <v>3.885</v>
      </c>
      <c r="N180" s="32">
        <f>(1-PERCENTRANK(J$3:J$202,J180))*'Input Resturant Brands Scoring '!$B$5</f>
        <v>4.608</v>
      </c>
      <c r="O180" s="31">
        <f>(1-PERCENTRANK(I$3:I$202,I180))*'Input Resturant Brands Scoring '!$B$6</f>
        <v>3.552</v>
      </c>
      <c r="P180" s="31">
        <f t="shared" si="3"/>
        <v>8.16</v>
      </c>
      <c r="Q180" s="31">
        <f>PERCENTRANK(L$3:L$202,L180)*'Input Resturant Brands Scoring '!$B$7</f>
        <v>23.38</v>
      </c>
      <c r="R180" s="31">
        <f t="shared" si="4"/>
        <v>35.425</v>
      </c>
      <c r="S180" s="12">
        <f t="shared" si="5"/>
        <v>167</v>
      </c>
      <c r="T180" s="12" t="str">
        <f t="shared" si="13"/>
        <v>C</v>
      </c>
      <c r="U180" s="33">
        <f t="shared" si="7"/>
        <v>61448.4</v>
      </c>
      <c r="V180" s="13">
        <f t="shared" si="8"/>
        <v>0.3</v>
      </c>
      <c r="W180" s="34">
        <f t="shared" si="9"/>
        <v>0</v>
      </c>
      <c r="X180" s="4">
        <f>IF(T180="S", B180*(1+'Input Fee and Elasticity Inputs'!$B$9), IF(T180="A", B180*(1+'Input Fee and Elasticity Inputs'!$B$10), IF(T180="B", B180*(1+'Input Fee and Elasticity Inputs'!$B$11), B180*(1+'Input Fee and Elasticity Inputs'!$B$12))))</f>
        <v>8619</v>
      </c>
      <c r="Y180" s="33">
        <f t="shared" si="10"/>
        <v>6.06</v>
      </c>
      <c r="Z180" s="33">
        <f t="shared" si="11"/>
        <v>52231.14</v>
      </c>
      <c r="AA180" s="33">
        <f t="shared" si="12"/>
        <v>-9217.26</v>
      </c>
    </row>
    <row r="181">
      <c r="A181" s="3" t="s">
        <v>188</v>
      </c>
      <c r="B181" s="4">
        <v>10008.0</v>
      </c>
      <c r="C181" s="5">
        <v>6.0</v>
      </c>
      <c r="D181" s="5">
        <v>50.0</v>
      </c>
      <c r="E181" s="6">
        <v>0.05</v>
      </c>
      <c r="F181" s="7">
        <v>18.3</v>
      </c>
      <c r="G181" s="6">
        <v>0.3</v>
      </c>
      <c r="H181" s="8">
        <v>0.0532</v>
      </c>
      <c r="I181" s="8">
        <v>0.015528866412</v>
      </c>
      <c r="J181" s="9">
        <v>5.0</v>
      </c>
      <c r="K181" s="29" t="str">
        <f t="shared" si="1"/>
        <v>SMB</v>
      </c>
      <c r="L181" s="30">
        <f t="shared" si="2"/>
        <v>5.49</v>
      </c>
      <c r="M181" s="31">
        <f>PERCENTRANK(B$3:B$202,B181)*'Input Resturant Brands Scoring '!$B$3</f>
        <v>3.71</v>
      </c>
      <c r="N181" s="32">
        <f>(1-PERCENTRANK(J$3:J$202,J181))*'Input Resturant Brands Scoring '!$B$5</f>
        <v>15.462</v>
      </c>
      <c r="O181" s="31">
        <f>(1-PERCENTRANK(I$3:I$202,I181))*'Input Resturant Brands Scoring '!$B$6</f>
        <v>8.316</v>
      </c>
      <c r="P181" s="31">
        <f t="shared" si="3"/>
        <v>23.778</v>
      </c>
      <c r="Q181" s="31">
        <f>PERCENTRANK(L$3:L$202,L181)*'Input Resturant Brands Scoring '!$B$7</f>
        <v>18.83</v>
      </c>
      <c r="R181" s="31">
        <f t="shared" si="4"/>
        <v>46.318</v>
      </c>
      <c r="S181" s="12">
        <f t="shared" si="5"/>
        <v>124</v>
      </c>
      <c r="T181" s="12" t="str">
        <f t="shared" si="13"/>
        <v>B</v>
      </c>
      <c r="U181" s="33">
        <f t="shared" si="7"/>
        <v>54943.92</v>
      </c>
      <c r="V181" s="13">
        <f t="shared" si="8"/>
        <v>0.3</v>
      </c>
      <c r="W181" s="34">
        <f t="shared" si="9"/>
        <v>0</v>
      </c>
      <c r="X181" s="4">
        <f>IF(T181="S", B181*(1+'Input Fee and Elasticity Inputs'!$B$9), IF(T181="A", B181*(1+'Input Fee and Elasticity Inputs'!$B$10), IF(T181="B", B181*(1+'Input Fee and Elasticity Inputs'!$B$11), B181*(1+'Input Fee and Elasticity Inputs'!$B$12))))</f>
        <v>9507.6</v>
      </c>
      <c r="Y181" s="33">
        <f t="shared" si="10"/>
        <v>5.49</v>
      </c>
      <c r="Z181" s="33">
        <f t="shared" si="11"/>
        <v>52196.724</v>
      </c>
      <c r="AA181" s="33">
        <f t="shared" si="12"/>
        <v>-2747.196</v>
      </c>
    </row>
    <row r="182">
      <c r="A182" s="3" t="s">
        <v>189</v>
      </c>
      <c r="B182" s="4">
        <v>9408.0</v>
      </c>
      <c r="C182" s="5">
        <v>6.0</v>
      </c>
      <c r="D182" s="5">
        <v>7.0</v>
      </c>
      <c r="E182" s="6">
        <v>0.29</v>
      </c>
      <c r="F182" s="7">
        <v>18.9</v>
      </c>
      <c r="G182" s="6">
        <v>0.3</v>
      </c>
      <c r="H182" s="8">
        <v>0.044</v>
      </c>
      <c r="I182" s="8">
        <v>0.014894273946</v>
      </c>
      <c r="J182" s="9">
        <v>22.0</v>
      </c>
      <c r="K182" s="29" t="str">
        <f t="shared" si="1"/>
        <v>SMB</v>
      </c>
      <c r="L182" s="30">
        <f t="shared" si="2"/>
        <v>5.67</v>
      </c>
      <c r="M182" s="31">
        <f>PERCENTRANK(B$3:B$202,B182)*'Input Resturant Brands Scoring '!$B$3</f>
        <v>3.535</v>
      </c>
      <c r="N182" s="32">
        <f>(1-PERCENTRANK(J$3:J$202,J182))*'Input Resturant Brands Scoring '!$B$5</f>
        <v>3.078</v>
      </c>
      <c r="O182" s="31">
        <f>(1-PERCENTRANK(I$3:I$202,I182))*'Input Resturant Brands Scoring '!$B$6</f>
        <v>8.688</v>
      </c>
      <c r="P182" s="31">
        <f t="shared" si="3"/>
        <v>11.766</v>
      </c>
      <c r="Q182" s="31">
        <f>PERCENTRANK(L$3:L$202,L182)*'Input Resturant Brands Scoring '!$B$7</f>
        <v>20.755</v>
      </c>
      <c r="R182" s="31">
        <f t="shared" si="4"/>
        <v>36.056</v>
      </c>
      <c r="S182" s="12">
        <f t="shared" si="5"/>
        <v>161</v>
      </c>
      <c r="T182" s="12" t="str">
        <f t="shared" si="13"/>
        <v>C</v>
      </c>
      <c r="U182" s="33">
        <f t="shared" si="7"/>
        <v>53343.36</v>
      </c>
      <c r="V182" s="13">
        <f t="shared" si="8"/>
        <v>0.3</v>
      </c>
      <c r="W182" s="34">
        <f t="shared" si="9"/>
        <v>0</v>
      </c>
      <c r="X182" s="4">
        <f>IF(T182="S", B182*(1+'Input Fee and Elasticity Inputs'!$B$9), IF(T182="A", B182*(1+'Input Fee and Elasticity Inputs'!$B$10), IF(T182="B", B182*(1+'Input Fee and Elasticity Inputs'!$B$11), B182*(1+'Input Fee and Elasticity Inputs'!$B$12))))</f>
        <v>7996.8</v>
      </c>
      <c r="Y182" s="33">
        <f t="shared" si="10"/>
        <v>5.67</v>
      </c>
      <c r="Z182" s="33">
        <f t="shared" si="11"/>
        <v>45341.856</v>
      </c>
      <c r="AA182" s="33">
        <f t="shared" si="12"/>
        <v>-8001.504</v>
      </c>
    </row>
    <row r="183">
      <c r="A183" s="3" t="s">
        <v>190</v>
      </c>
      <c r="B183" s="4">
        <v>8880.0</v>
      </c>
      <c r="C183" s="5">
        <v>7.0</v>
      </c>
      <c r="D183" s="5">
        <v>11.0</v>
      </c>
      <c r="E183" s="6">
        <v>0.72</v>
      </c>
      <c r="F183" s="7">
        <v>15.7</v>
      </c>
      <c r="G183" s="6">
        <v>0.3</v>
      </c>
      <c r="H183" s="8">
        <v>0.0732</v>
      </c>
      <c r="I183" s="8">
        <v>0.013536627426</v>
      </c>
      <c r="J183" s="9">
        <v>4.0</v>
      </c>
      <c r="K183" s="29" t="str">
        <f t="shared" si="1"/>
        <v>SMB</v>
      </c>
      <c r="L183" s="30">
        <f t="shared" si="2"/>
        <v>4.71</v>
      </c>
      <c r="M183" s="31">
        <f>PERCENTRANK(B$3:B$202,B183)*'Input Resturant Brands Scoring '!$B$3</f>
        <v>3.325</v>
      </c>
      <c r="N183" s="32">
        <f>(1-PERCENTRANK(J$3:J$202,J183))*'Input Resturant Brands Scoring '!$B$5</f>
        <v>17.1</v>
      </c>
      <c r="O183" s="31">
        <f>(1-PERCENTRANK(I$3:I$202,I183))*'Input Resturant Brands Scoring '!$B$6</f>
        <v>10.548</v>
      </c>
      <c r="P183" s="31">
        <f t="shared" si="3"/>
        <v>27.648</v>
      </c>
      <c r="Q183" s="31">
        <f>PERCENTRANK(L$3:L$202,L183)*'Input Resturant Brands Scoring '!$B$7</f>
        <v>10.01</v>
      </c>
      <c r="R183" s="31">
        <f t="shared" si="4"/>
        <v>40.983</v>
      </c>
      <c r="S183" s="12">
        <f t="shared" si="5"/>
        <v>146</v>
      </c>
      <c r="T183" s="12" t="str">
        <f t="shared" si="13"/>
        <v>B</v>
      </c>
      <c r="U183" s="33">
        <f t="shared" si="7"/>
        <v>41824.8</v>
      </c>
      <c r="V183" s="13">
        <f t="shared" si="8"/>
        <v>0.3</v>
      </c>
      <c r="W183" s="34">
        <f t="shared" si="9"/>
        <v>0</v>
      </c>
      <c r="X183" s="4">
        <f>IF(T183="S", B183*(1+'Input Fee and Elasticity Inputs'!$B$9), IF(T183="A", B183*(1+'Input Fee and Elasticity Inputs'!$B$10), IF(T183="B", B183*(1+'Input Fee and Elasticity Inputs'!$B$11), B183*(1+'Input Fee and Elasticity Inputs'!$B$12))))</f>
        <v>8436</v>
      </c>
      <c r="Y183" s="33">
        <f t="shared" si="10"/>
        <v>4.71</v>
      </c>
      <c r="Z183" s="33">
        <f t="shared" si="11"/>
        <v>39733.56</v>
      </c>
      <c r="AA183" s="33">
        <f t="shared" si="12"/>
        <v>-2091.24</v>
      </c>
    </row>
    <row r="184">
      <c r="A184" s="3" t="s">
        <v>191</v>
      </c>
      <c r="B184" s="4">
        <v>8256.0</v>
      </c>
      <c r="C184" s="5">
        <v>6.0</v>
      </c>
      <c r="D184" s="5">
        <v>8.0</v>
      </c>
      <c r="E184" s="6">
        <v>0.31</v>
      </c>
      <c r="F184" s="7">
        <v>17.5</v>
      </c>
      <c r="G184" s="6">
        <v>0.3</v>
      </c>
      <c r="H184" s="8">
        <v>0.0708</v>
      </c>
      <c r="I184" s="8">
        <v>0.016472173944</v>
      </c>
      <c r="J184" s="9">
        <v>11.0</v>
      </c>
      <c r="K184" s="29" t="str">
        <f t="shared" si="1"/>
        <v>SMB</v>
      </c>
      <c r="L184" s="30">
        <f t="shared" si="2"/>
        <v>5.25</v>
      </c>
      <c r="M184" s="31">
        <f>PERCENTRANK(B$3:B$202,B184)*'Input Resturant Brands Scoring '!$B$3</f>
        <v>3.15</v>
      </c>
      <c r="N184" s="32">
        <f>(1-PERCENTRANK(J$3:J$202,J184))*'Input Resturant Brands Scoring '!$B$5</f>
        <v>8.136</v>
      </c>
      <c r="O184" s="31">
        <f>(1-PERCENTRANK(I$3:I$202,I184))*'Input Resturant Brands Scoring '!$B$6</f>
        <v>7.416</v>
      </c>
      <c r="P184" s="31">
        <f t="shared" si="3"/>
        <v>15.552</v>
      </c>
      <c r="Q184" s="31">
        <f>PERCENTRANK(L$3:L$202,L184)*'Input Resturant Brands Scoring '!$B$7</f>
        <v>15.82</v>
      </c>
      <c r="R184" s="31">
        <f t="shared" si="4"/>
        <v>34.522</v>
      </c>
      <c r="S184" s="12">
        <f t="shared" si="5"/>
        <v>169</v>
      </c>
      <c r="T184" s="12" t="str">
        <f t="shared" si="13"/>
        <v>C</v>
      </c>
      <c r="U184" s="33">
        <f t="shared" si="7"/>
        <v>43344</v>
      </c>
      <c r="V184" s="13">
        <f t="shared" si="8"/>
        <v>0.3</v>
      </c>
      <c r="W184" s="34">
        <f t="shared" si="9"/>
        <v>0</v>
      </c>
      <c r="X184" s="4">
        <f>IF(T184="S", B184*(1+'Input Fee and Elasticity Inputs'!$B$9), IF(T184="A", B184*(1+'Input Fee and Elasticity Inputs'!$B$10), IF(T184="B", B184*(1+'Input Fee and Elasticity Inputs'!$B$11), B184*(1+'Input Fee and Elasticity Inputs'!$B$12))))</f>
        <v>7017.6</v>
      </c>
      <c r="Y184" s="33">
        <f t="shared" si="10"/>
        <v>5.25</v>
      </c>
      <c r="Z184" s="33">
        <f t="shared" si="11"/>
        <v>36842.4</v>
      </c>
      <c r="AA184" s="33">
        <f t="shared" si="12"/>
        <v>-6501.6</v>
      </c>
    </row>
    <row r="185">
      <c r="A185" s="3" t="s">
        <v>192</v>
      </c>
      <c r="B185" s="4">
        <v>8148.0</v>
      </c>
      <c r="C185" s="5">
        <v>6.0</v>
      </c>
      <c r="D185" s="5">
        <v>8.0</v>
      </c>
      <c r="E185" s="6">
        <v>0.33</v>
      </c>
      <c r="F185" s="7">
        <v>17.2</v>
      </c>
      <c r="G185" s="6">
        <v>0.3</v>
      </c>
      <c r="H185" s="8">
        <v>0.0432</v>
      </c>
      <c r="I185" s="8">
        <v>0.017461652735999998</v>
      </c>
      <c r="J185" s="9">
        <v>30.0</v>
      </c>
      <c r="K185" s="29" t="str">
        <f t="shared" si="1"/>
        <v>SMB</v>
      </c>
      <c r="L185" s="30">
        <f t="shared" si="2"/>
        <v>5.16</v>
      </c>
      <c r="M185" s="31">
        <f>PERCENTRANK(B$3:B$202,B185)*'Input Resturant Brands Scoring '!$B$3</f>
        <v>2.975</v>
      </c>
      <c r="N185" s="32">
        <f>(1-PERCENTRANK(J$3:J$202,J185))*'Input Resturant Brands Scoring '!$B$5</f>
        <v>1.35</v>
      </c>
      <c r="O185" s="31">
        <f>(1-PERCENTRANK(I$3:I$202,I185))*'Input Resturant Brands Scoring '!$B$6</f>
        <v>6.756</v>
      </c>
      <c r="P185" s="31">
        <f t="shared" si="3"/>
        <v>8.106</v>
      </c>
      <c r="Q185" s="31">
        <f>PERCENTRANK(L$3:L$202,L185)*'Input Resturant Brands Scoring '!$B$7</f>
        <v>15.12</v>
      </c>
      <c r="R185" s="31">
        <f t="shared" si="4"/>
        <v>26.201</v>
      </c>
      <c r="S185" s="12">
        <f t="shared" si="5"/>
        <v>191</v>
      </c>
      <c r="T185" s="12" t="str">
        <f t="shared" si="13"/>
        <v>C</v>
      </c>
      <c r="U185" s="33">
        <f t="shared" si="7"/>
        <v>42043.68</v>
      </c>
      <c r="V185" s="13">
        <f t="shared" si="8"/>
        <v>0.3</v>
      </c>
      <c r="W185" s="34">
        <f t="shared" si="9"/>
        <v>0</v>
      </c>
      <c r="X185" s="4">
        <f>IF(T185="S", B185*(1+'Input Fee and Elasticity Inputs'!$B$9), IF(T185="A", B185*(1+'Input Fee and Elasticity Inputs'!$B$10), IF(T185="B", B185*(1+'Input Fee and Elasticity Inputs'!$B$11), B185*(1+'Input Fee and Elasticity Inputs'!$B$12))))</f>
        <v>6925.8</v>
      </c>
      <c r="Y185" s="33">
        <f t="shared" si="10"/>
        <v>5.16</v>
      </c>
      <c r="Z185" s="33">
        <f t="shared" si="11"/>
        <v>35737.128</v>
      </c>
      <c r="AA185" s="33">
        <f t="shared" si="12"/>
        <v>-6306.552</v>
      </c>
    </row>
    <row r="186">
      <c r="A186" s="3" t="s">
        <v>193</v>
      </c>
      <c r="B186" s="4">
        <v>8064.0</v>
      </c>
      <c r="C186" s="5">
        <v>6.0</v>
      </c>
      <c r="D186" s="5">
        <v>33.0</v>
      </c>
      <c r="E186" s="6">
        <v>0.84</v>
      </c>
      <c r="F186" s="7">
        <v>11.7</v>
      </c>
      <c r="G186" s="6">
        <v>0.24</v>
      </c>
      <c r="H186" s="8">
        <v>0.0164</v>
      </c>
      <c r="I186" s="8">
        <v>0.014342800824</v>
      </c>
      <c r="J186" s="9">
        <v>8.0</v>
      </c>
      <c r="K186" s="29" t="str">
        <f t="shared" si="1"/>
        <v>SMB</v>
      </c>
      <c r="L186" s="30">
        <f t="shared" si="2"/>
        <v>2.808</v>
      </c>
      <c r="M186" s="31">
        <f>PERCENTRANK(B$3:B$202,B186)*'Input Resturant Brands Scoring '!$B$3</f>
        <v>2.8</v>
      </c>
      <c r="N186" s="32">
        <f>(1-PERCENTRANK(J$3:J$202,J186))*'Input Resturant Brands Scoring '!$B$5</f>
        <v>11.574</v>
      </c>
      <c r="O186" s="31">
        <f>(1-PERCENTRANK(I$3:I$202,I186))*'Input Resturant Brands Scoring '!$B$6</f>
        <v>9.228</v>
      </c>
      <c r="P186" s="31">
        <f t="shared" si="3"/>
        <v>20.802</v>
      </c>
      <c r="Q186" s="31">
        <f>PERCENTRANK(L$3:L$202,L186)*'Input Resturant Brands Scoring '!$B$7</f>
        <v>0.175</v>
      </c>
      <c r="R186" s="31">
        <f t="shared" si="4"/>
        <v>23.777</v>
      </c>
      <c r="S186" s="12">
        <f t="shared" si="5"/>
        <v>194</v>
      </c>
      <c r="T186" s="12" t="str">
        <f t="shared" si="13"/>
        <v>C</v>
      </c>
      <c r="U186" s="33">
        <f t="shared" si="7"/>
        <v>22643.712</v>
      </c>
      <c r="V186" s="13">
        <f t="shared" si="8"/>
        <v>0.27</v>
      </c>
      <c r="W186" s="34">
        <f t="shared" si="9"/>
        <v>0.03</v>
      </c>
      <c r="X186" s="4">
        <f>IF(T186="S", B186*(1+'Input Fee and Elasticity Inputs'!$B$9), IF(T186="A", B186*(1+'Input Fee and Elasticity Inputs'!$B$10), IF(T186="B", B186*(1+'Input Fee and Elasticity Inputs'!$B$11), B186*(1+'Input Fee and Elasticity Inputs'!$B$12))))</f>
        <v>6854.4</v>
      </c>
      <c r="Y186" s="33">
        <f t="shared" si="10"/>
        <v>3.159</v>
      </c>
      <c r="Z186" s="33">
        <f t="shared" si="11"/>
        <v>21653.0496</v>
      </c>
      <c r="AA186" s="33">
        <f t="shared" si="12"/>
        <v>-990.6624</v>
      </c>
    </row>
    <row r="187">
      <c r="A187" s="3" t="s">
        <v>194</v>
      </c>
      <c r="B187" s="4">
        <v>7980.0</v>
      </c>
      <c r="C187" s="5">
        <v>6.0</v>
      </c>
      <c r="D187" s="5">
        <v>33.0</v>
      </c>
      <c r="E187" s="6">
        <v>0.99</v>
      </c>
      <c r="F187" s="7">
        <v>20.8</v>
      </c>
      <c r="G187" s="6">
        <v>0.27</v>
      </c>
      <c r="H187" s="8">
        <v>0.0312</v>
      </c>
      <c r="I187" s="8">
        <v>0.013036999577999999</v>
      </c>
      <c r="J187" s="9">
        <v>4.0</v>
      </c>
      <c r="K187" s="29" t="str">
        <f t="shared" si="1"/>
        <v>SMB</v>
      </c>
      <c r="L187" s="30">
        <f t="shared" si="2"/>
        <v>5.616</v>
      </c>
      <c r="M187" s="31">
        <f>PERCENTRANK(B$3:B$202,B187)*'Input Resturant Brands Scoring '!$B$3</f>
        <v>2.625</v>
      </c>
      <c r="N187" s="32">
        <f>(1-PERCENTRANK(J$3:J$202,J187))*'Input Resturant Brands Scoring '!$B$5</f>
        <v>17.1</v>
      </c>
      <c r="O187" s="31">
        <f>(1-PERCENTRANK(I$3:I$202,I187))*'Input Resturant Brands Scoring '!$B$6</f>
        <v>10.788</v>
      </c>
      <c r="P187" s="31">
        <f t="shared" si="3"/>
        <v>27.888</v>
      </c>
      <c r="Q187" s="31">
        <f>PERCENTRANK(L$3:L$202,L187)*'Input Resturant Brands Scoring '!$B$7</f>
        <v>20.405</v>
      </c>
      <c r="R187" s="31">
        <f t="shared" si="4"/>
        <v>50.918</v>
      </c>
      <c r="S187" s="12">
        <f t="shared" si="5"/>
        <v>100</v>
      </c>
      <c r="T187" s="12" t="str">
        <f t="shared" si="13"/>
        <v>B</v>
      </c>
      <c r="U187" s="33">
        <f t="shared" si="7"/>
        <v>44815.68</v>
      </c>
      <c r="V187" s="13">
        <f t="shared" si="8"/>
        <v>0.29</v>
      </c>
      <c r="W187" s="34">
        <f t="shared" si="9"/>
        <v>0.02</v>
      </c>
      <c r="X187" s="4">
        <f>IF(T187="S", B187*(1+'Input Fee and Elasticity Inputs'!$B$9), IF(T187="A", B187*(1+'Input Fee and Elasticity Inputs'!$B$10), IF(T187="B", B187*(1+'Input Fee and Elasticity Inputs'!$B$11), B187*(1+'Input Fee and Elasticity Inputs'!$B$12))))</f>
        <v>7581</v>
      </c>
      <c r="Y187" s="33">
        <f t="shared" si="10"/>
        <v>6.032</v>
      </c>
      <c r="Z187" s="33">
        <f t="shared" si="11"/>
        <v>45728.592</v>
      </c>
      <c r="AA187" s="33">
        <f t="shared" si="12"/>
        <v>912.912</v>
      </c>
    </row>
    <row r="188">
      <c r="A188" s="3" t="s">
        <v>195</v>
      </c>
      <c r="B188" s="4">
        <v>7584.0</v>
      </c>
      <c r="C188" s="5">
        <v>6.0</v>
      </c>
      <c r="D188" s="5">
        <v>9.0</v>
      </c>
      <c r="E188" s="6">
        <v>0.12</v>
      </c>
      <c r="F188" s="7">
        <v>25.0</v>
      </c>
      <c r="G188" s="6">
        <v>0.3</v>
      </c>
      <c r="H188" s="8">
        <v>0.0992</v>
      </c>
      <c r="I188" s="8">
        <v>0.014296707378</v>
      </c>
      <c r="J188" s="9">
        <v>17.0</v>
      </c>
      <c r="K188" s="29" t="str">
        <f t="shared" si="1"/>
        <v>SMB</v>
      </c>
      <c r="L188" s="30">
        <f t="shared" si="2"/>
        <v>7.5</v>
      </c>
      <c r="M188" s="31">
        <f>PERCENTRANK(B$3:B$202,B188)*'Input Resturant Brands Scoring '!$B$3</f>
        <v>2.45</v>
      </c>
      <c r="N188" s="32">
        <f>(1-PERCENTRANK(J$3:J$202,J188))*'Input Resturant Brands Scoring '!$B$5</f>
        <v>4.608</v>
      </c>
      <c r="O188" s="31">
        <f>(1-PERCENTRANK(I$3:I$202,I188))*'Input Resturant Brands Scoring '!$B$6</f>
        <v>9.408</v>
      </c>
      <c r="P188" s="31">
        <f t="shared" si="3"/>
        <v>14.016</v>
      </c>
      <c r="Q188" s="31">
        <f>PERCENTRANK(L$3:L$202,L188)*'Input Resturant Brands Scoring '!$B$7</f>
        <v>30.94</v>
      </c>
      <c r="R188" s="31">
        <f t="shared" si="4"/>
        <v>47.406</v>
      </c>
      <c r="S188" s="12">
        <f t="shared" si="5"/>
        <v>119</v>
      </c>
      <c r="T188" s="12" t="str">
        <f t="shared" si="13"/>
        <v>B</v>
      </c>
      <c r="U188" s="33">
        <f t="shared" si="7"/>
        <v>56880</v>
      </c>
      <c r="V188" s="13">
        <f t="shared" si="8"/>
        <v>0.3</v>
      </c>
      <c r="W188" s="34">
        <f t="shared" si="9"/>
        <v>0</v>
      </c>
      <c r="X188" s="4">
        <f>IF(T188="S", B188*(1+'Input Fee and Elasticity Inputs'!$B$9), IF(T188="A", B188*(1+'Input Fee and Elasticity Inputs'!$B$10), IF(T188="B", B188*(1+'Input Fee and Elasticity Inputs'!$B$11), B188*(1+'Input Fee and Elasticity Inputs'!$B$12))))</f>
        <v>7204.8</v>
      </c>
      <c r="Y188" s="33">
        <f t="shared" si="10"/>
        <v>7.5</v>
      </c>
      <c r="Z188" s="33">
        <f t="shared" si="11"/>
        <v>54036</v>
      </c>
      <c r="AA188" s="33">
        <f t="shared" si="12"/>
        <v>-2844</v>
      </c>
    </row>
    <row r="189">
      <c r="A189" s="3" t="s">
        <v>196</v>
      </c>
      <c r="B189" s="4">
        <v>7560.0</v>
      </c>
      <c r="C189" s="5">
        <v>3.0</v>
      </c>
      <c r="D189" s="5">
        <v>6.0</v>
      </c>
      <c r="E189" s="6">
        <v>0.24</v>
      </c>
      <c r="F189" s="7">
        <v>14.0</v>
      </c>
      <c r="G189" s="6">
        <v>0.27</v>
      </c>
      <c r="H189" s="8">
        <v>0.0456</v>
      </c>
      <c r="I189" s="8">
        <v>0.010352773356000001</v>
      </c>
      <c r="J189" s="9">
        <v>6.0</v>
      </c>
      <c r="K189" s="29" t="str">
        <f t="shared" si="1"/>
        <v>SMB</v>
      </c>
      <c r="L189" s="30">
        <f t="shared" si="2"/>
        <v>3.78</v>
      </c>
      <c r="M189" s="31">
        <f>PERCENTRANK(B$3:B$202,B189)*'Input Resturant Brands Scoring '!$B$3</f>
        <v>2.275</v>
      </c>
      <c r="N189" s="32">
        <f>(1-PERCENTRANK(J$3:J$202,J189))*'Input Resturant Brands Scoring '!$B$5</f>
        <v>14.022</v>
      </c>
      <c r="O189" s="31">
        <f>(1-PERCENTRANK(I$3:I$202,I189))*'Input Resturant Brands Scoring '!$B$6</f>
        <v>11.7</v>
      </c>
      <c r="P189" s="31">
        <f t="shared" si="3"/>
        <v>25.722</v>
      </c>
      <c r="Q189" s="31">
        <f>PERCENTRANK(L$3:L$202,L189)*'Input Resturant Brands Scoring '!$B$7</f>
        <v>2.45</v>
      </c>
      <c r="R189" s="31">
        <f t="shared" si="4"/>
        <v>30.447</v>
      </c>
      <c r="S189" s="12">
        <f t="shared" si="5"/>
        <v>183</v>
      </c>
      <c r="T189" s="12" t="str">
        <f t="shared" si="13"/>
        <v>C</v>
      </c>
      <c r="U189" s="33">
        <f t="shared" si="7"/>
        <v>28576.8</v>
      </c>
      <c r="V189" s="13">
        <f t="shared" si="8"/>
        <v>0.3</v>
      </c>
      <c r="W189" s="34">
        <f t="shared" si="9"/>
        <v>0.03</v>
      </c>
      <c r="X189" s="4">
        <f>IF(T189="S", B189*(1+'Input Fee and Elasticity Inputs'!$B$9), IF(T189="A", B189*(1+'Input Fee and Elasticity Inputs'!$B$10), IF(T189="B", B189*(1+'Input Fee and Elasticity Inputs'!$B$11), B189*(1+'Input Fee and Elasticity Inputs'!$B$12))))</f>
        <v>6426</v>
      </c>
      <c r="Y189" s="33">
        <f t="shared" si="10"/>
        <v>4.2</v>
      </c>
      <c r="Z189" s="33">
        <f t="shared" si="11"/>
        <v>26989.2</v>
      </c>
      <c r="AA189" s="33">
        <f t="shared" si="12"/>
        <v>-1587.6</v>
      </c>
    </row>
    <row r="190">
      <c r="A190" s="3" t="s">
        <v>197</v>
      </c>
      <c r="B190" s="4">
        <v>7440.0</v>
      </c>
      <c r="C190" s="5">
        <v>7.0</v>
      </c>
      <c r="D190" s="5">
        <v>9.0</v>
      </c>
      <c r="E190" s="6">
        <v>0.36</v>
      </c>
      <c r="F190" s="7">
        <v>17.6</v>
      </c>
      <c r="G190" s="6">
        <v>0.29</v>
      </c>
      <c r="H190" s="8">
        <v>0.032</v>
      </c>
      <c r="I190" s="8">
        <v>0.024672238686</v>
      </c>
      <c r="J190" s="9">
        <v>22.0</v>
      </c>
      <c r="K190" s="29" t="str">
        <f t="shared" si="1"/>
        <v>SMB</v>
      </c>
      <c r="L190" s="30">
        <f t="shared" si="2"/>
        <v>5.104</v>
      </c>
      <c r="M190" s="31">
        <f>PERCENTRANK(B$3:B$202,B190)*'Input Resturant Brands Scoring '!$B$3</f>
        <v>2.1</v>
      </c>
      <c r="N190" s="32">
        <f>(1-PERCENTRANK(J$3:J$202,J190))*'Input Resturant Brands Scoring '!$B$5</f>
        <v>3.078</v>
      </c>
      <c r="O190" s="31">
        <f>(1-PERCENTRANK(I$3:I$202,I190))*'Input Resturant Brands Scoring '!$B$6</f>
        <v>2.592</v>
      </c>
      <c r="P190" s="31">
        <f t="shared" si="3"/>
        <v>5.67</v>
      </c>
      <c r="Q190" s="31">
        <f>PERCENTRANK(L$3:L$202,L190)*'Input Resturant Brands Scoring '!$B$7</f>
        <v>13.895</v>
      </c>
      <c r="R190" s="31">
        <f t="shared" si="4"/>
        <v>21.665</v>
      </c>
      <c r="S190" s="12">
        <f t="shared" si="5"/>
        <v>196</v>
      </c>
      <c r="T190" s="12" t="str">
        <f t="shared" si="13"/>
        <v>C</v>
      </c>
      <c r="U190" s="33">
        <f t="shared" si="7"/>
        <v>37973.76</v>
      </c>
      <c r="V190" s="13">
        <f t="shared" si="8"/>
        <v>0.3</v>
      </c>
      <c r="W190" s="34">
        <f t="shared" si="9"/>
        <v>0.01</v>
      </c>
      <c r="X190" s="4">
        <f>IF(T190="S", B190*(1+'Input Fee and Elasticity Inputs'!$B$9), IF(T190="A", B190*(1+'Input Fee and Elasticity Inputs'!$B$10), IF(T190="B", B190*(1+'Input Fee and Elasticity Inputs'!$B$11), B190*(1+'Input Fee and Elasticity Inputs'!$B$12))))</f>
        <v>6324</v>
      </c>
      <c r="Y190" s="33">
        <f t="shared" si="10"/>
        <v>5.28</v>
      </c>
      <c r="Z190" s="33">
        <f t="shared" si="11"/>
        <v>33390.72</v>
      </c>
      <c r="AA190" s="33">
        <f t="shared" si="12"/>
        <v>-4583.04</v>
      </c>
    </row>
    <row r="191">
      <c r="A191" s="3" t="s">
        <v>198</v>
      </c>
      <c r="B191" s="4">
        <v>7128.0</v>
      </c>
      <c r="C191" s="5">
        <v>7.0</v>
      </c>
      <c r="D191" s="5">
        <v>8.0</v>
      </c>
      <c r="E191" s="6">
        <v>0.86</v>
      </c>
      <c r="F191" s="7">
        <v>14.2</v>
      </c>
      <c r="G191" s="6">
        <v>0.3</v>
      </c>
      <c r="H191" s="8">
        <v>0.0384</v>
      </c>
      <c r="I191" s="8">
        <v>0.022783063133999998</v>
      </c>
      <c r="J191" s="9">
        <v>21.0</v>
      </c>
      <c r="K191" s="29" t="str">
        <f t="shared" si="1"/>
        <v>SMB</v>
      </c>
      <c r="L191" s="30">
        <f t="shared" si="2"/>
        <v>4.26</v>
      </c>
      <c r="M191" s="31">
        <f>PERCENTRANK(B$3:B$202,B191)*'Input Resturant Brands Scoring '!$B$3</f>
        <v>1.75</v>
      </c>
      <c r="N191" s="32">
        <f>(1-PERCENTRANK(J$3:J$202,J191))*'Input Resturant Brands Scoring '!$B$5</f>
        <v>3.348</v>
      </c>
      <c r="O191" s="31">
        <f>(1-PERCENTRANK(I$3:I$202,I191))*'Input Resturant Brands Scoring '!$B$6</f>
        <v>4.044</v>
      </c>
      <c r="P191" s="31">
        <f t="shared" si="3"/>
        <v>7.392</v>
      </c>
      <c r="Q191" s="31">
        <f>PERCENTRANK(L$3:L$202,L191)*'Input Resturant Brands Scoring '!$B$7</f>
        <v>5.635</v>
      </c>
      <c r="R191" s="31">
        <f t="shared" si="4"/>
        <v>14.777</v>
      </c>
      <c r="S191" s="12">
        <f t="shared" si="5"/>
        <v>200</v>
      </c>
      <c r="T191" s="12" t="str">
        <f t="shared" si="13"/>
        <v>C</v>
      </c>
      <c r="U191" s="33">
        <f t="shared" si="7"/>
        <v>30365.28</v>
      </c>
      <c r="V191" s="13">
        <f t="shared" si="8"/>
        <v>0.3</v>
      </c>
      <c r="W191" s="34">
        <f t="shared" si="9"/>
        <v>0</v>
      </c>
      <c r="X191" s="4">
        <f>IF(T191="S", B191*(1+'Input Fee and Elasticity Inputs'!$B$9), IF(T191="A", B191*(1+'Input Fee and Elasticity Inputs'!$B$10), IF(T191="B", B191*(1+'Input Fee and Elasticity Inputs'!$B$11), B191*(1+'Input Fee and Elasticity Inputs'!$B$12))))</f>
        <v>6058.8</v>
      </c>
      <c r="Y191" s="33">
        <f t="shared" si="10"/>
        <v>4.26</v>
      </c>
      <c r="Z191" s="33">
        <f t="shared" si="11"/>
        <v>25810.488</v>
      </c>
      <c r="AA191" s="33">
        <f t="shared" si="12"/>
        <v>-4554.792</v>
      </c>
    </row>
    <row r="192">
      <c r="A192" s="3" t="s">
        <v>199</v>
      </c>
      <c r="B192" s="4">
        <v>7128.0</v>
      </c>
      <c r="C192" s="5">
        <v>7.0</v>
      </c>
      <c r="D192" s="5">
        <v>20.0</v>
      </c>
      <c r="E192" s="6">
        <v>0.69</v>
      </c>
      <c r="F192" s="7">
        <v>18.7</v>
      </c>
      <c r="G192" s="6">
        <v>0.3</v>
      </c>
      <c r="H192" s="8">
        <v>0.036</v>
      </c>
      <c r="I192" s="8">
        <v>0.013478715623999998</v>
      </c>
      <c r="J192" s="9">
        <v>16.0</v>
      </c>
      <c r="K192" s="29" t="str">
        <f t="shared" si="1"/>
        <v>SMB</v>
      </c>
      <c r="L192" s="30">
        <f t="shared" si="2"/>
        <v>5.61</v>
      </c>
      <c r="M192" s="31">
        <f>PERCENTRANK(B$3:B$202,B192)*'Input Resturant Brands Scoring '!$B$3</f>
        <v>1.75</v>
      </c>
      <c r="N192" s="32">
        <f>(1-PERCENTRANK(J$3:J$202,J192))*'Input Resturant Brands Scoring '!$B$5</f>
        <v>5.148</v>
      </c>
      <c r="O192" s="31">
        <f>(1-PERCENTRANK(I$3:I$202,I192))*'Input Resturant Brands Scoring '!$B$6</f>
        <v>10.608</v>
      </c>
      <c r="P192" s="31">
        <f t="shared" si="3"/>
        <v>15.756</v>
      </c>
      <c r="Q192" s="31">
        <f>PERCENTRANK(L$3:L$202,L192)*'Input Resturant Brands Scoring '!$B$7</f>
        <v>20.23</v>
      </c>
      <c r="R192" s="31">
        <f t="shared" si="4"/>
        <v>37.736</v>
      </c>
      <c r="S192" s="12">
        <f t="shared" si="5"/>
        <v>155</v>
      </c>
      <c r="T192" s="12" t="str">
        <f t="shared" si="13"/>
        <v>C</v>
      </c>
      <c r="U192" s="33">
        <f t="shared" si="7"/>
        <v>39988.08</v>
      </c>
      <c r="V192" s="13">
        <f t="shared" si="8"/>
        <v>0.3</v>
      </c>
      <c r="W192" s="34">
        <f t="shared" si="9"/>
        <v>0</v>
      </c>
      <c r="X192" s="4">
        <f>IF(T192="S", B192*(1+'Input Fee and Elasticity Inputs'!$B$9), IF(T192="A", B192*(1+'Input Fee and Elasticity Inputs'!$B$10), IF(T192="B", B192*(1+'Input Fee and Elasticity Inputs'!$B$11), B192*(1+'Input Fee and Elasticity Inputs'!$B$12))))</f>
        <v>6058.8</v>
      </c>
      <c r="Y192" s="33">
        <f t="shared" si="10"/>
        <v>5.61</v>
      </c>
      <c r="Z192" s="33">
        <f t="shared" si="11"/>
        <v>33989.868</v>
      </c>
      <c r="AA192" s="33">
        <f t="shared" si="12"/>
        <v>-5998.212</v>
      </c>
    </row>
    <row r="193">
      <c r="A193" s="3" t="s">
        <v>200</v>
      </c>
      <c r="B193" s="4">
        <v>6840.0</v>
      </c>
      <c r="C193" s="5">
        <v>7.0</v>
      </c>
      <c r="D193" s="5">
        <v>16.0</v>
      </c>
      <c r="E193" s="6">
        <v>0.84</v>
      </c>
      <c r="F193" s="7">
        <v>20.4</v>
      </c>
      <c r="G193" s="6">
        <v>0.29</v>
      </c>
      <c r="H193" s="8">
        <v>0.0572</v>
      </c>
      <c r="I193" s="8">
        <v>0.015056923877999999</v>
      </c>
      <c r="J193" s="9">
        <v>14.0</v>
      </c>
      <c r="K193" s="29" t="str">
        <f t="shared" si="1"/>
        <v>SMB</v>
      </c>
      <c r="L193" s="30">
        <f t="shared" si="2"/>
        <v>5.916</v>
      </c>
      <c r="M193" s="31">
        <f>PERCENTRANK(B$3:B$202,B193)*'Input Resturant Brands Scoring '!$B$3</f>
        <v>1.575</v>
      </c>
      <c r="N193" s="32">
        <f>(1-PERCENTRANK(J$3:J$202,J193))*'Input Resturant Brands Scoring '!$B$5</f>
        <v>6.426</v>
      </c>
      <c r="O193" s="31">
        <f>(1-PERCENTRANK(I$3:I$202,I193))*'Input Resturant Brands Scoring '!$B$6</f>
        <v>8.568</v>
      </c>
      <c r="P193" s="31">
        <f t="shared" si="3"/>
        <v>14.994</v>
      </c>
      <c r="Q193" s="31">
        <f>PERCENTRANK(L$3:L$202,L193)*'Input Resturant Brands Scoring '!$B$7</f>
        <v>22.505</v>
      </c>
      <c r="R193" s="31">
        <f t="shared" si="4"/>
        <v>39.074</v>
      </c>
      <c r="S193" s="12">
        <f t="shared" si="5"/>
        <v>152</v>
      </c>
      <c r="T193" s="12" t="str">
        <f t="shared" si="13"/>
        <v>C</v>
      </c>
      <c r="U193" s="33">
        <f t="shared" si="7"/>
        <v>40465.44</v>
      </c>
      <c r="V193" s="13">
        <f t="shared" si="8"/>
        <v>0.3</v>
      </c>
      <c r="W193" s="34">
        <f t="shared" si="9"/>
        <v>0.01</v>
      </c>
      <c r="X193" s="4">
        <f>IF(T193="S", B193*(1+'Input Fee and Elasticity Inputs'!$B$9), IF(T193="A", B193*(1+'Input Fee and Elasticity Inputs'!$B$10), IF(T193="B", B193*(1+'Input Fee and Elasticity Inputs'!$B$11), B193*(1+'Input Fee and Elasticity Inputs'!$B$12))))</f>
        <v>5814</v>
      </c>
      <c r="Y193" s="33">
        <f t="shared" si="10"/>
        <v>6.12</v>
      </c>
      <c r="Z193" s="33">
        <f t="shared" si="11"/>
        <v>35581.68</v>
      </c>
      <c r="AA193" s="33">
        <f t="shared" si="12"/>
        <v>-4883.76</v>
      </c>
    </row>
    <row r="194">
      <c r="A194" s="3" t="s">
        <v>201</v>
      </c>
      <c r="B194" s="4">
        <v>6732.0</v>
      </c>
      <c r="C194" s="5">
        <v>7.0</v>
      </c>
      <c r="D194" s="5">
        <v>13.0</v>
      </c>
      <c r="E194" s="6">
        <v>0.82</v>
      </c>
      <c r="F194" s="7">
        <v>15.0</v>
      </c>
      <c r="G194" s="6">
        <v>0.25</v>
      </c>
      <c r="H194" s="8">
        <v>0.088</v>
      </c>
      <c r="I194" s="8">
        <v>0.019217141579999996</v>
      </c>
      <c r="J194" s="9">
        <v>4.0</v>
      </c>
      <c r="K194" s="29" t="str">
        <f t="shared" si="1"/>
        <v>SMB</v>
      </c>
      <c r="L194" s="30">
        <f t="shared" si="2"/>
        <v>3.75</v>
      </c>
      <c r="M194" s="31">
        <f>PERCENTRANK(B$3:B$202,B194)*'Input Resturant Brands Scoring '!$B$3</f>
        <v>1.4</v>
      </c>
      <c r="N194" s="32">
        <f>(1-PERCENTRANK(J$3:J$202,J194))*'Input Resturant Brands Scoring '!$B$5</f>
        <v>17.1</v>
      </c>
      <c r="O194" s="31">
        <f>(1-PERCENTRANK(I$3:I$202,I194))*'Input Resturant Brands Scoring '!$B$6</f>
        <v>5.784</v>
      </c>
      <c r="P194" s="31">
        <f t="shared" si="3"/>
        <v>22.884</v>
      </c>
      <c r="Q194" s="31">
        <f>PERCENTRANK(L$3:L$202,L194)*'Input Resturant Brands Scoring '!$B$7</f>
        <v>2.275</v>
      </c>
      <c r="R194" s="31">
        <f t="shared" si="4"/>
        <v>26.559</v>
      </c>
      <c r="S194" s="12">
        <f t="shared" si="5"/>
        <v>189</v>
      </c>
      <c r="T194" s="12" t="str">
        <f t="shared" si="13"/>
        <v>C</v>
      </c>
      <c r="U194" s="33">
        <f t="shared" si="7"/>
        <v>25245</v>
      </c>
      <c r="V194" s="13">
        <f t="shared" si="8"/>
        <v>0.28</v>
      </c>
      <c r="W194" s="34">
        <f t="shared" si="9"/>
        <v>0.03</v>
      </c>
      <c r="X194" s="4">
        <f>IF(T194="S", B194*(1+'Input Fee and Elasticity Inputs'!$B$9), IF(T194="A", B194*(1+'Input Fee and Elasticity Inputs'!$B$10), IF(T194="B", B194*(1+'Input Fee and Elasticity Inputs'!$B$11), B194*(1+'Input Fee and Elasticity Inputs'!$B$12))))</f>
        <v>5722.2</v>
      </c>
      <c r="Y194" s="33">
        <f t="shared" si="10"/>
        <v>4.2</v>
      </c>
      <c r="Z194" s="33">
        <f t="shared" si="11"/>
        <v>24033.24</v>
      </c>
      <c r="AA194" s="33">
        <f t="shared" si="12"/>
        <v>-1211.76</v>
      </c>
    </row>
    <row r="195">
      <c r="A195" s="3" t="s">
        <v>202</v>
      </c>
      <c r="B195" s="4">
        <v>6432.0</v>
      </c>
      <c r="C195" s="5">
        <v>6.0</v>
      </c>
      <c r="D195" s="5">
        <v>32.0</v>
      </c>
      <c r="E195" s="6">
        <v>0.01</v>
      </c>
      <c r="F195" s="7">
        <v>25.0</v>
      </c>
      <c r="G195" s="6">
        <v>0.16</v>
      </c>
      <c r="H195" s="8">
        <v>0.0548</v>
      </c>
      <c r="I195" s="8">
        <v>0.014408406779999999</v>
      </c>
      <c r="J195" s="9">
        <v>6.0</v>
      </c>
      <c r="K195" s="29" t="str">
        <f t="shared" si="1"/>
        <v>SMB</v>
      </c>
      <c r="L195" s="30">
        <f t="shared" si="2"/>
        <v>4</v>
      </c>
      <c r="M195" s="31">
        <f>PERCENTRANK(B$3:B$202,B195)*'Input Resturant Brands Scoring '!$B$3</f>
        <v>1.225</v>
      </c>
      <c r="N195" s="32">
        <f>(1-PERCENTRANK(J$3:J$202,J195))*'Input Resturant Brands Scoring '!$B$5</f>
        <v>14.022</v>
      </c>
      <c r="O195" s="31">
        <f>(1-PERCENTRANK(I$3:I$202,I195))*'Input Resturant Brands Scoring '!$B$6</f>
        <v>9.048</v>
      </c>
      <c r="P195" s="31">
        <f t="shared" si="3"/>
        <v>23.07</v>
      </c>
      <c r="Q195" s="31">
        <f>PERCENTRANK(L$3:L$202,L195)*'Input Resturant Brands Scoring '!$B$7</f>
        <v>3.71</v>
      </c>
      <c r="R195" s="31">
        <f t="shared" si="4"/>
        <v>28.005</v>
      </c>
      <c r="S195" s="12">
        <f t="shared" si="5"/>
        <v>188</v>
      </c>
      <c r="T195" s="12" t="str">
        <f t="shared" si="13"/>
        <v>C</v>
      </c>
      <c r="U195" s="33">
        <f t="shared" si="7"/>
        <v>25728</v>
      </c>
      <c r="V195" s="13">
        <f t="shared" si="8"/>
        <v>0.19</v>
      </c>
      <c r="W195" s="34">
        <f t="shared" si="9"/>
        <v>0.03</v>
      </c>
      <c r="X195" s="4">
        <f>IF(T195="S", B195*(1+'Input Fee and Elasticity Inputs'!$B$9), IF(T195="A", B195*(1+'Input Fee and Elasticity Inputs'!$B$10), IF(T195="B", B195*(1+'Input Fee and Elasticity Inputs'!$B$11), B195*(1+'Input Fee and Elasticity Inputs'!$B$12))))</f>
        <v>5467.2</v>
      </c>
      <c r="Y195" s="33">
        <f t="shared" si="10"/>
        <v>4.75</v>
      </c>
      <c r="Z195" s="33">
        <f t="shared" si="11"/>
        <v>25969.2</v>
      </c>
      <c r="AA195" s="33">
        <f t="shared" si="12"/>
        <v>241.2</v>
      </c>
    </row>
    <row r="196">
      <c r="A196" s="3" t="s">
        <v>203</v>
      </c>
      <c r="B196" s="4">
        <v>6240.0</v>
      </c>
      <c r="C196" s="5">
        <v>7.0</v>
      </c>
      <c r="D196" s="5">
        <v>28.0</v>
      </c>
      <c r="E196" s="6">
        <v>0.85</v>
      </c>
      <c r="F196" s="7">
        <v>16.3</v>
      </c>
      <c r="G196" s="6">
        <v>0.25</v>
      </c>
      <c r="H196" s="8">
        <v>0.048</v>
      </c>
      <c r="I196" s="8">
        <v>0.014463046061999999</v>
      </c>
      <c r="J196" s="9">
        <v>26.0</v>
      </c>
      <c r="K196" s="29" t="str">
        <f t="shared" si="1"/>
        <v>SMB</v>
      </c>
      <c r="L196" s="30">
        <f t="shared" si="2"/>
        <v>4.075</v>
      </c>
      <c r="M196" s="31">
        <f>PERCENTRANK(B$3:B$202,B196)*'Input Resturant Brands Scoring '!$B$3</f>
        <v>1.05</v>
      </c>
      <c r="N196" s="32">
        <f>(1-PERCENTRANK(J$3:J$202,J196))*'Input Resturant Brands Scoring '!$B$5</f>
        <v>1.998</v>
      </c>
      <c r="O196" s="31">
        <f>(1-PERCENTRANK(I$3:I$202,I196))*'Input Resturant Brands Scoring '!$B$6</f>
        <v>8.988</v>
      </c>
      <c r="P196" s="31">
        <f t="shared" si="3"/>
        <v>10.986</v>
      </c>
      <c r="Q196" s="31">
        <f>PERCENTRANK(L$3:L$202,L196)*'Input Resturant Brands Scoring '!$B$7</f>
        <v>4.06</v>
      </c>
      <c r="R196" s="31">
        <f t="shared" si="4"/>
        <v>16.096</v>
      </c>
      <c r="S196" s="12">
        <f t="shared" si="5"/>
        <v>199</v>
      </c>
      <c r="T196" s="12" t="str">
        <f t="shared" si="13"/>
        <v>C</v>
      </c>
      <c r="U196" s="33">
        <f t="shared" si="7"/>
        <v>25428</v>
      </c>
      <c r="V196" s="13">
        <f t="shared" si="8"/>
        <v>0.28</v>
      </c>
      <c r="W196" s="34">
        <f t="shared" si="9"/>
        <v>0.03</v>
      </c>
      <c r="X196" s="4">
        <f>IF(T196="S", B196*(1+'Input Fee and Elasticity Inputs'!$B$9), IF(T196="A", B196*(1+'Input Fee and Elasticity Inputs'!$B$10), IF(T196="B", B196*(1+'Input Fee and Elasticity Inputs'!$B$11), B196*(1+'Input Fee and Elasticity Inputs'!$B$12))))</f>
        <v>5304</v>
      </c>
      <c r="Y196" s="33">
        <f t="shared" si="10"/>
        <v>4.564</v>
      </c>
      <c r="Z196" s="33">
        <f t="shared" si="11"/>
        <v>24207.456</v>
      </c>
      <c r="AA196" s="33">
        <f t="shared" si="12"/>
        <v>-1220.544</v>
      </c>
    </row>
    <row r="197">
      <c r="A197" s="3" t="s">
        <v>204</v>
      </c>
      <c r="B197" s="4">
        <v>5376.0</v>
      </c>
      <c r="C197" s="5">
        <v>6.0</v>
      </c>
      <c r="D197" s="5">
        <v>26.0</v>
      </c>
      <c r="E197" s="6">
        <v>0.32</v>
      </c>
      <c r="F197" s="7">
        <v>22.0</v>
      </c>
      <c r="G197" s="6">
        <v>0.3</v>
      </c>
      <c r="H197" s="8">
        <v>0.0716</v>
      </c>
      <c r="I197" s="8">
        <v>0.01251165024</v>
      </c>
      <c r="J197" s="9">
        <v>10.0</v>
      </c>
      <c r="K197" s="29" t="str">
        <f t="shared" si="1"/>
        <v>SMB</v>
      </c>
      <c r="L197" s="30">
        <f t="shared" si="2"/>
        <v>6.6</v>
      </c>
      <c r="M197" s="31">
        <f>PERCENTRANK(B$3:B$202,B197)*'Input Resturant Brands Scoring '!$B$3</f>
        <v>0.875</v>
      </c>
      <c r="N197" s="32">
        <f>(1-PERCENTRANK(J$3:J$202,J197))*'Input Resturant Brands Scoring '!$B$5</f>
        <v>9.054</v>
      </c>
      <c r="O197" s="31">
        <f>(1-PERCENTRANK(I$3:I$202,I197))*'Input Resturant Brands Scoring '!$B$6</f>
        <v>11.16</v>
      </c>
      <c r="P197" s="31">
        <f t="shared" si="3"/>
        <v>20.214</v>
      </c>
      <c r="Q197" s="31">
        <f>PERCENTRANK(L$3:L$202,L197)*'Input Resturant Brands Scoring '!$B$7</f>
        <v>26.39</v>
      </c>
      <c r="R197" s="31">
        <f t="shared" si="4"/>
        <v>47.479</v>
      </c>
      <c r="S197" s="12">
        <f t="shared" si="5"/>
        <v>117</v>
      </c>
      <c r="T197" s="12" t="str">
        <f t="shared" si="13"/>
        <v>B</v>
      </c>
      <c r="U197" s="33">
        <f t="shared" si="7"/>
        <v>35481.6</v>
      </c>
      <c r="V197" s="13">
        <f t="shared" si="8"/>
        <v>0.3</v>
      </c>
      <c r="W197" s="34">
        <f t="shared" si="9"/>
        <v>0</v>
      </c>
      <c r="X197" s="4">
        <f>IF(T197="S", B197*(1+'Input Fee and Elasticity Inputs'!$B$9), IF(T197="A", B197*(1+'Input Fee and Elasticity Inputs'!$B$10), IF(T197="B", B197*(1+'Input Fee and Elasticity Inputs'!$B$11), B197*(1+'Input Fee and Elasticity Inputs'!$B$12))))</f>
        <v>5107.2</v>
      </c>
      <c r="Y197" s="33">
        <f t="shared" si="10"/>
        <v>6.6</v>
      </c>
      <c r="Z197" s="33">
        <f t="shared" si="11"/>
        <v>33707.52</v>
      </c>
      <c r="AA197" s="33">
        <f t="shared" si="12"/>
        <v>-1774.08</v>
      </c>
    </row>
    <row r="198">
      <c r="A198" s="3" t="s">
        <v>205</v>
      </c>
      <c r="B198" s="4">
        <v>4536.0</v>
      </c>
      <c r="C198" s="5">
        <v>6.0</v>
      </c>
      <c r="D198" s="5">
        <v>55.0</v>
      </c>
      <c r="E198" s="6">
        <v>0.09</v>
      </c>
      <c r="F198" s="7">
        <v>16.4</v>
      </c>
      <c r="G198" s="6">
        <v>0.3</v>
      </c>
      <c r="H198" s="8">
        <v>0.0048</v>
      </c>
      <c r="I198" s="8">
        <v>0.014368164102</v>
      </c>
      <c r="J198" s="9">
        <v>6.0</v>
      </c>
      <c r="K198" s="29" t="str">
        <f t="shared" si="1"/>
        <v>SMB</v>
      </c>
      <c r="L198" s="30">
        <f t="shared" si="2"/>
        <v>4.92</v>
      </c>
      <c r="M198" s="31">
        <f>PERCENTRANK(B$3:B$202,B198)*'Input Resturant Brands Scoring '!$B$3</f>
        <v>0.7</v>
      </c>
      <c r="N198" s="32">
        <f>(1-PERCENTRANK(J$3:J$202,J198))*'Input Resturant Brands Scoring '!$B$5</f>
        <v>14.022</v>
      </c>
      <c r="O198" s="31">
        <f>(1-PERCENTRANK(I$3:I$202,I198))*'Input Resturant Brands Scoring '!$B$6</f>
        <v>9.168</v>
      </c>
      <c r="P198" s="31">
        <f t="shared" si="3"/>
        <v>23.19</v>
      </c>
      <c r="Q198" s="31">
        <f>PERCENTRANK(L$3:L$202,L198)*'Input Resturant Brands Scoring '!$B$7</f>
        <v>12.145</v>
      </c>
      <c r="R198" s="31">
        <f t="shared" si="4"/>
        <v>36.035</v>
      </c>
      <c r="S198" s="12">
        <f t="shared" si="5"/>
        <v>162</v>
      </c>
      <c r="T198" s="12" t="str">
        <f t="shared" si="13"/>
        <v>C</v>
      </c>
      <c r="U198" s="33">
        <f t="shared" si="7"/>
        <v>22317.12</v>
      </c>
      <c r="V198" s="13">
        <f t="shared" si="8"/>
        <v>0.3</v>
      </c>
      <c r="W198" s="34">
        <f t="shared" si="9"/>
        <v>0</v>
      </c>
      <c r="X198" s="4">
        <f>IF(T198="S", B198*(1+'Input Fee and Elasticity Inputs'!$B$9), IF(T198="A", B198*(1+'Input Fee and Elasticity Inputs'!$B$10), IF(T198="B", B198*(1+'Input Fee and Elasticity Inputs'!$B$11), B198*(1+'Input Fee and Elasticity Inputs'!$B$12))))</f>
        <v>3855.6</v>
      </c>
      <c r="Y198" s="33">
        <f t="shared" si="10"/>
        <v>4.92</v>
      </c>
      <c r="Z198" s="33">
        <f t="shared" si="11"/>
        <v>18969.552</v>
      </c>
      <c r="AA198" s="33">
        <f t="shared" si="12"/>
        <v>-3347.568</v>
      </c>
    </row>
    <row r="199">
      <c r="A199" s="3" t="s">
        <v>206</v>
      </c>
      <c r="B199" s="4">
        <v>4032.0</v>
      </c>
      <c r="C199" s="5">
        <v>6.0</v>
      </c>
      <c r="D199" s="5">
        <v>9.0</v>
      </c>
      <c r="E199" s="6">
        <v>0.9</v>
      </c>
      <c r="F199" s="7">
        <v>20.9</v>
      </c>
      <c r="G199" s="6">
        <v>0.3</v>
      </c>
      <c r="H199" s="8">
        <v>0.092</v>
      </c>
      <c r="I199" s="8">
        <v>0.013667971271999998</v>
      </c>
      <c r="J199" s="9">
        <v>25.0</v>
      </c>
      <c r="K199" s="29" t="str">
        <f t="shared" si="1"/>
        <v>SMB</v>
      </c>
      <c r="L199" s="30">
        <f t="shared" si="2"/>
        <v>6.27</v>
      </c>
      <c r="M199" s="31">
        <f>PERCENTRANK(B$3:B$202,B199)*'Input Resturant Brands Scoring '!$B$3</f>
        <v>0.525</v>
      </c>
      <c r="N199" s="32">
        <f>(1-PERCENTRANK(J$3:J$202,J199))*'Input Resturant Brands Scoring '!$B$5</f>
        <v>2.358</v>
      </c>
      <c r="O199" s="31">
        <f>(1-PERCENTRANK(I$3:I$202,I199))*'Input Resturant Brands Scoring '!$B$6</f>
        <v>10.488</v>
      </c>
      <c r="P199" s="31">
        <f t="shared" si="3"/>
        <v>12.846</v>
      </c>
      <c r="Q199" s="31">
        <f>PERCENTRANK(L$3:L$202,L199)*'Input Resturant Brands Scoring '!$B$7</f>
        <v>24.99</v>
      </c>
      <c r="R199" s="31">
        <f t="shared" si="4"/>
        <v>38.361</v>
      </c>
      <c r="S199" s="12">
        <f t="shared" si="5"/>
        <v>154</v>
      </c>
      <c r="T199" s="12" t="str">
        <f t="shared" si="13"/>
        <v>C</v>
      </c>
      <c r="U199" s="33">
        <f t="shared" si="7"/>
        <v>25280.64</v>
      </c>
      <c r="V199" s="13">
        <f t="shared" si="8"/>
        <v>0.3</v>
      </c>
      <c r="W199" s="34">
        <f t="shared" si="9"/>
        <v>0</v>
      </c>
      <c r="X199" s="4">
        <f>IF(T199="S", B199*(1+'Input Fee and Elasticity Inputs'!$B$9), IF(T199="A", B199*(1+'Input Fee and Elasticity Inputs'!$B$10), IF(T199="B", B199*(1+'Input Fee and Elasticity Inputs'!$B$11), B199*(1+'Input Fee and Elasticity Inputs'!$B$12))))</f>
        <v>3427.2</v>
      </c>
      <c r="Y199" s="33">
        <f t="shared" si="10"/>
        <v>6.27</v>
      </c>
      <c r="Z199" s="33">
        <f t="shared" si="11"/>
        <v>21488.544</v>
      </c>
      <c r="AA199" s="33">
        <f t="shared" si="12"/>
        <v>-3792.096</v>
      </c>
    </row>
    <row r="200">
      <c r="A200" s="3" t="s">
        <v>207</v>
      </c>
      <c r="B200" s="4">
        <v>3264.0</v>
      </c>
      <c r="C200" s="5">
        <v>6.0</v>
      </c>
      <c r="D200" s="5">
        <v>41.0</v>
      </c>
      <c r="E200" s="6">
        <v>0.12</v>
      </c>
      <c r="F200" s="7">
        <v>21.6</v>
      </c>
      <c r="G200" s="6">
        <v>0.26</v>
      </c>
      <c r="H200" s="8">
        <v>0.0808</v>
      </c>
      <c r="I200" s="8">
        <v>0.016318170995999998</v>
      </c>
      <c r="J200" s="9">
        <v>14.0</v>
      </c>
      <c r="K200" s="29" t="str">
        <f t="shared" si="1"/>
        <v>SMB</v>
      </c>
      <c r="L200" s="30">
        <f t="shared" si="2"/>
        <v>5.616</v>
      </c>
      <c r="M200" s="31">
        <f>PERCENTRANK(B$3:B$202,B200)*'Input Resturant Brands Scoring '!$B$3</f>
        <v>0.35</v>
      </c>
      <c r="N200" s="32">
        <f>(1-PERCENTRANK(J$3:J$202,J200))*'Input Resturant Brands Scoring '!$B$5</f>
        <v>6.426</v>
      </c>
      <c r="O200" s="31">
        <f>(1-PERCENTRANK(I$3:I$202,I200))*'Input Resturant Brands Scoring '!$B$6</f>
        <v>7.656</v>
      </c>
      <c r="P200" s="31">
        <f t="shared" si="3"/>
        <v>14.082</v>
      </c>
      <c r="Q200" s="31">
        <f>PERCENTRANK(L$3:L$202,L200)*'Input Resturant Brands Scoring '!$B$7</f>
        <v>20.405</v>
      </c>
      <c r="R200" s="31">
        <f t="shared" si="4"/>
        <v>34.837</v>
      </c>
      <c r="S200" s="12">
        <f t="shared" si="5"/>
        <v>168</v>
      </c>
      <c r="T200" s="12" t="str">
        <f t="shared" si="13"/>
        <v>C</v>
      </c>
      <c r="U200" s="33">
        <f t="shared" si="7"/>
        <v>18330.624</v>
      </c>
      <c r="V200" s="13">
        <f t="shared" si="8"/>
        <v>0.29</v>
      </c>
      <c r="W200" s="34">
        <f t="shared" si="9"/>
        <v>0.03</v>
      </c>
      <c r="X200" s="4">
        <f>IF(T200="S", B200*(1+'Input Fee and Elasticity Inputs'!$B$9), IF(T200="A", B200*(1+'Input Fee and Elasticity Inputs'!$B$10), IF(T200="B", B200*(1+'Input Fee and Elasticity Inputs'!$B$11), B200*(1+'Input Fee and Elasticity Inputs'!$B$12))))</f>
        <v>2774.4</v>
      </c>
      <c r="Y200" s="33">
        <f t="shared" si="10"/>
        <v>6.264</v>
      </c>
      <c r="Z200" s="33">
        <f t="shared" si="11"/>
        <v>17378.8416</v>
      </c>
      <c r="AA200" s="33">
        <f t="shared" si="12"/>
        <v>-951.7824</v>
      </c>
    </row>
    <row r="201">
      <c r="A201" s="3" t="s">
        <v>208</v>
      </c>
      <c r="B201" s="4">
        <v>3240.0</v>
      </c>
      <c r="C201" s="5">
        <v>6.0</v>
      </c>
      <c r="D201" s="5">
        <v>7.0</v>
      </c>
      <c r="E201" s="6">
        <v>0.02</v>
      </c>
      <c r="F201" s="7">
        <v>18.3</v>
      </c>
      <c r="G201" s="6">
        <v>0.16</v>
      </c>
      <c r="H201" s="8">
        <v>0.1088</v>
      </c>
      <c r="I201" s="8">
        <v>0.013709469336</v>
      </c>
      <c r="J201" s="9">
        <v>5.0</v>
      </c>
      <c r="K201" s="29" t="str">
        <f t="shared" si="1"/>
        <v>SMB</v>
      </c>
      <c r="L201" s="30">
        <f t="shared" si="2"/>
        <v>2.928</v>
      </c>
      <c r="M201" s="31">
        <f>PERCENTRANK(B$3:B$202,B201)*'Input Resturant Brands Scoring '!$B$3</f>
        <v>0.175</v>
      </c>
      <c r="N201" s="32">
        <f>(1-PERCENTRANK(J$3:J$202,J201))*'Input Resturant Brands Scoring '!$B$5</f>
        <v>15.462</v>
      </c>
      <c r="O201" s="31">
        <f>(1-PERCENTRANK(I$3:I$202,I201))*'Input Resturant Brands Scoring '!$B$6</f>
        <v>10.368</v>
      </c>
      <c r="P201" s="31">
        <f t="shared" si="3"/>
        <v>25.83</v>
      </c>
      <c r="Q201" s="31">
        <f>PERCENTRANK(L$3:L$202,L201)*'Input Resturant Brands Scoring '!$B$7</f>
        <v>0.35</v>
      </c>
      <c r="R201" s="31">
        <f t="shared" si="4"/>
        <v>26.355</v>
      </c>
      <c r="S201" s="12">
        <f t="shared" si="5"/>
        <v>190</v>
      </c>
      <c r="T201" s="12" t="str">
        <f t="shared" si="13"/>
        <v>C</v>
      </c>
      <c r="U201" s="33">
        <f t="shared" si="7"/>
        <v>9486.72</v>
      </c>
      <c r="V201" s="13">
        <f t="shared" si="8"/>
        <v>0.19</v>
      </c>
      <c r="W201" s="34">
        <f t="shared" si="9"/>
        <v>0.03</v>
      </c>
      <c r="X201" s="4">
        <f>IF(T201="S", B201*(1+'Input Fee and Elasticity Inputs'!$B$9), IF(T201="A", B201*(1+'Input Fee and Elasticity Inputs'!$B$10), IF(T201="B", B201*(1+'Input Fee and Elasticity Inputs'!$B$11), B201*(1+'Input Fee and Elasticity Inputs'!$B$12))))</f>
        <v>2754</v>
      </c>
      <c r="Y201" s="33">
        <f t="shared" si="10"/>
        <v>3.477</v>
      </c>
      <c r="Z201" s="33">
        <f t="shared" si="11"/>
        <v>9575.658</v>
      </c>
      <c r="AA201" s="33">
        <f t="shared" si="12"/>
        <v>88.938</v>
      </c>
    </row>
    <row r="202">
      <c r="A202" s="3" t="s">
        <v>209</v>
      </c>
      <c r="B202" s="4">
        <v>2592.0</v>
      </c>
      <c r="C202" s="5">
        <v>6.0</v>
      </c>
      <c r="D202" s="5">
        <v>38.0</v>
      </c>
      <c r="E202" s="6">
        <v>0.39</v>
      </c>
      <c r="F202" s="7">
        <v>28.3</v>
      </c>
      <c r="G202" s="6">
        <v>0.26</v>
      </c>
      <c r="H202" s="8">
        <v>0.092</v>
      </c>
      <c r="I202" s="8">
        <v>0.01303672452</v>
      </c>
      <c r="J202" s="9">
        <v>6.0</v>
      </c>
      <c r="K202" s="29" t="str">
        <f t="shared" si="1"/>
        <v>SMB</v>
      </c>
      <c r="L202" s="30">
        <f t="shared" si="2"/>
        <v>7.358</v>
      </c>
      <c r="M202" s="31">
        <f>PERCENTRANK(B$3:B$202,B202)*'Input Resturant Brands Scoring '!$B$3</f>
        <v>0</v>
      </c>
      <c r="N202" s="32">
        <f>(1-PERCENTRANK(J$3:J$202,J202))*'Input Resturant Brands Scoring '!$B$5</f>
        <v>14.022</v>
      </c>
      <c r="O202" s="31">
        <f>(1-PERCENTRANK(I$3:I$202,I202))*'Input Resturant Brands Scoring '!$B$6</f>
        <v>10.86</v>
      </c>
      <c r="P202" s="31">
        <f t="shared" si="3"/>
        <v>24.882</v>
      </c>
      <c r="Q202" s="31">
        <f>PERCENTRANK(L$3:L$202,L202)*'Input Resturant Brands Scoring '!$B$7</f>
        <v>30.415</v>
      </c>
      <c r="R202" s="31">
        <f t="shared" si="4"/>
        <v>55.297</v>
      </c>
      <c r="S202" s="12">
        <f t="shared" si="5"/>
        <v>74</v>
      </c>
      <c r="T202" s="12" t="str">
        <f t="shared" si="13"/>
        <v>B</v>
      </c>
      <c r="U202" s="33">
        <f t="shared" si="7"/>
        <v>19071.936</v>
      </c>
      <c r="V202" s="13">
        <f t="shared" si="8"/>
        <v>0.28</v>
      </c>
      <c r="W202" s="34">
        <f t="shared" si="9"/>
        <v>0.02</v>
      </c>
      <c r="X202" s="4">
        <f>IF(T202="S", B202*(1+'Input Fee and Elasticity Inputs'!$B$9), IF(T202="A", B202*(1+'Input Fee and Elasticity Inputs'!$B$10), IF(T202="B", B202*(1+'Input Fee and Elasticity Inputs'!$B$11), B202*(1+'Input Fee and Elasticity Inputs'!$B$12))))</f>
        <v>2462.4</v>
      </c>
      <c r="Y202" s="33">
        <f t="shared" si="10"/>
        <v>7.924</v>
      </c>
      <c r="Z202" s="33">
        <f t="shared" si="11"/>
        <v>19512.0576</v>
      </c>
      <c r="AA202" s="33">
        <f t="shared" si="12"/>
        <v>440.1216</v>
      </c>
    </row>
  </sheetData>
  <autoFilter ref="$A$2:$AA$202"/>
  <mergeCells count="2">
    <mergeCell ref="U1:AA1"/>
    <mergeCell ref="L1:T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0"/>
    <col customWidth="1" min="2" max="3" width="14.38"/>
    <col customWidth="1" min="4" max="4" width="13.38"/>
    <col customWidth="1" min="5" max="6" width="14.25"/>
    <col customWidth="1" min="7" max="7" width="16.75"/>
    <col customWidth="1" min="8" max="8" width="26.75"/>
    <col customWidth="1" min="9" max="9" width="16.25"/>
    <col customWidth="1" min="10" max="10" width="23.75"/>
  </cols>
  <sheetData>
    <row r="1">
      <c r="A1" s="1" t="str">
        <f t="array" ref="A1:J201">'RAW Restaurant Brands Dataset'!A:J</f>
        <v>Brand Name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9" t="s">
        <v>278</v>
      </c>
      <c r="L1" s="22" t="s">
        <v>279</v>
      </c>
      <c r="M1" s="23" t="s">
        <v>280</v>
      </c>
      <c r="N1" s="24" t="s">
        <v>281</v>
      </c>
      <c r="O1" s="25" t="s">
        <v>282</v>
      </c>
      <c r="P1" s="26" t="s">
        <v>283</v>
      </c>
      <c r="Q1" s="26" t="s">
        <v>284</v>
      </c>
      <c r="R1" s="27" t="s">
        <v>285</v>
      </c>
      <c r="S1" s="27" t="s">
        <v>286</v>
      </c>
      <c r="T1" s="27" t="s">
        <v>287</v>
      </c>
      <c r="U1" s="28" t="s">
        <v>288</v>
      </c>
      <c r="V1" s="28" t="s">
        <v>289</v>
      </c>
      <c r="W1" s="28" t="s">
        <v>290</v>
      </c>
      <c r="X1" s="28" t="s">
        <v>291</v>
      </c>
      <c r="Y1" s="28" t="s">
        <v>292</v>
      </c>
      <c r="Z1" s="28" t="s">
        <v>293</v>
      </c>
      <c r="AA1" s="28" t="s">
        <v>294</v>
      </c>
    </row>
    <row r="2">
      <c r="A2" s="3" t="s">
        <v>10</v>
      </c>
      <c r="B2" s="4">
        <v>1068012.0</v>
      </c>
      <c r="C2" s="5">
        <v>482.0</v>
      </c>
      <c r="D2" s="5">
        <v>753.0</v>
      </c>
      <c r="E2" s="6">
        <v>0.69</v>
      </c>
      <c r="F2" s="7">
        <v>16.8</v>
      </c>
      <c r="G2" s="6">
        <v>0.25</v>
      </c>
      <c r="H2" s="8">
        <v>0.0468</v>
      </c>
      <c r="I2" s="8">
        <v>0.028940038949999997</v>
      </c>
      <c r="J2" s="9">
        <v>7.0</v>
      </c>
      <c r="K2" s="29" t="str">
        <f t="shared" ref="K2:K201" si="1">if(C2&gt;20,"Enterprise","SMB")</f>
        <v>Enterprise</v>
      </c>
      <c r="L2" s="30">
        <f t="shared" ref="L2:L201" si="2">F2*G2</f>
        <v>4.2</v>
      </c>
      <c r="M2" s="31">
        <f>PERCENTRANK(B$2:B$201,B2)*'Input Resturant Brands Scoring '!$B$3</f>
        <v>35</v>
      </c>
      <c r="N2" s="32">
        <f>(1-PERCENTRANK(J$2:J$201,J2))*'Input Resturant Brands Scoring '!$B$5</f>
        <v>12.204</v>
      </c>
      <c r="O2" s="31">
        <f>(1-PERCENTRANK(I$2:I$201,I2))*'Input Resturant Brands Scoring '!$B$6</f>
        <v>1.212</v>
      </c>
      <c r="P2" s="31">
        <f t="shared" ref="P2:P201" si="3">sum(N2:O2)</f>
        <v>13.416</v>
      </c>
      <c r="Q2" s="31">
        <f>PERCENTRANK(L$2:L$201,L2)*'Input Resturant Brands Scoring '!$B$7</f>
        <v>5.285</v>
      </c>
      <c r="R2" s="31">
        <f t="shared" ref="R2:R201" si="4">M2+N2+O2+Q2</f>
        <v>53.701</v>
      </c>
      <c r="S2" s="12">
        <f t="shared" ref="S2:S201" si="5">RANK(R2,R$2:R$201,0)</f>
        <v>87</v>
      </c>
      <c r="T2" s="12" t="str">
        <f t="shared" ref="T2:T13" si="6">IF(S2&lt;=10,"S",IF(S2&lt;=50,"A",IF(S2&lt;=150,"B","C")))</f>
        <v>B</v>
      </c>
      <c r="U2" s="33">
        <f t="shared" ref="U2:U201" si="7">G2*F2*B2</f>
        <v>4485650.4</v>
      </c>
      <c r="V2" s="13">
        <f t="shared" ref="V2:V201" si="8">MIN(0.3, MAX(0.1, IF(T2="S", G2-0.02, IF(T2="A", G2-0.005, IF(T2="B", G2+0.02, G2+0.03)))))</f>
        <v>0.27</v>
      </c>
      <c r="W2" s="34">
        <f t="shared" ref="W2:W201" si="9">V2-G2</f>
        <v>0.02</v>
      </c>
      <c r="X2" s="4">
        <f>IF(T2="S", B2*(1+'Input Fee and Elasticity Inputs'!$B$9), IF(T2="A", B2*(1+'Input Fee and Elasticity Inputs'!$B$10), IF(T2="B", B2*(1+'Input Fee and Elasticity Inputs'!$B$11), B2*(1+'Input Fee and Elasticity Inputs'!$B$12))))</f>
        <v>1014611.4</v>
      </c>
      <c r="Y2" s="33">
        <f t="shared" ref="Y2:Y201" si="10">F2*V2</f>
        <v>4.536</v>
      </c>
      <c r="Z2" s="33">
        <f t="shared" ref="Z2:Z201" si="11">Y2*X2</f>
        <v>4602277.31</v>
      </c>
      <c r="AA2" s="33">
        <f t="shared" ref="AA2:AA201" si="12">Z2-U2</f>
        <v>116626.9104</v>
      </c>
    </row>
    <row r="3">
      <c r="A3" s="3" t="s">
        <v>11</v>
      </c>
      <c r="B3" s="4">
        <v>1018080.0</v>
      </c>
      <c r="C3" s="5">
        <v>556.0</v>
      </c>
      <c r="D3" s="5">
        <v>783.0</v>
      </c>
      <c r="E3" s="6">
        <v>0.96</v>
      </c>
      <c r="F3" s="7">
        <v>18.5</v>
      </c>
      <c r="G3" s="6">
        <v>0.17</v>
      </c>
      <c r="H3" s="8">
        <v>0.0652</v>
      </c>
      <c r="I3" s="8">
        <v>0.027053131565999998</v>
      </c>
      <c r="J3" s="9">
        <v>4.0</v>
      </c>
      <c r="K3" s="29" t="str">
        <f t="shared" si="1"/>
        <v>Enterprise</v>
      </c>
      <c r="L3" s="30">
        <f t="shared" si="2"/>
        <v>3.145</v>
      </c>
      <c r="M3" s="31">
        <f>PERCENTRANK(B$2:B$201,B3)*'Input Resturant Brands Scoring '!$B$3</f>
        <v>34.825</v>
      </c>
      <c r="N3" s="32">
        <f>(1-PERCENTRANK(J$2:J$201,J3))*'Input Resturant Brands Scoring '!$B$5</f>
        <v>17.1</v>
      </c>
      <c r="O3" s="31">
        <f>(1-PERCENTRANK(I$2:I$201,I3))*'Input Resturant Brands Scoring '!$B$6</f>
        <v>1.872</v>
      </c>
      <c r="P3" s="31">
        <f t="shared" si="3"/>
        <v>18.972</v>
      </c>
      <c r="Q3" s="31">
        <f>PERCENTRANK(L$2:L$201,L3)*'Input Resturant Brands Scoring '!$B$7</f>
        <v>0.7</v>
      </c>
      <c r="R3" s="31">
        <f t="shared" si="4"/>
        <v>54.497</v>
      </c>
      <c r="S3" s="12">
        <f t="shared" si="5"/>
        <v>82</v>
      </c>
      <c r="T3" s="12" t="str">
        <f t="shared" si="6"/>
        <v>B</v>
      </c>
      <c r="U3" s="33">
        <f t="shared" si="7"/>
        <v>3201861.6</v>
      </c>
      <c r="V3" s="13">
        <f t="shared" si="8"/>
        <v>0.19</v>
      </c>
      <c r="W3" s="34">
        <f t="shared" si="9"/>
        <v>0.02</v>
      </c>
      <c r="X3" s="4">
        <f>IF(T3="S", B3*(1+'Input Fee and Elasticity Inputs'!$B$9), IF(T3="A", B3*(1+'Input Fee and Elasticity Inputs'!$B$10), IF(T3="B", B3*(1+'Input Fee and Elasticity Inputs'!$B$11), B3*(1+'Input Fee and Elasticity Inputs'!$B$12))))</f>
        <v>967176</v>
      </c>
      <c r="Y3" s="33">
        <f t="shared" si="10"/>
        <v>3.515</v>
      </c>
      <c r="Z3" s="33">
        <f t="shared" si="11"/>
        <v>3399623.64</v>
      </c>
      <c r="AA3" s="33">
        <f t="shared" si="12"/>
        <v>197762.04</v>
      </c>
    </row>
    <row r="4">
      <c r="A4" s="3" t="s">
        <v>12</v>
      </c>
      <c r="B4" s="4">
        <v>775008.0</v>
      </c>
      <c r="C4" s="5">
        <v>388.0</v>
      </c>
      <c r="D4" s="5">
        <v>668.0</v>
      </c>
      <c r="E4" s="6">
        <v>0.23</v>
      </c>
      <c r="F4" s="7">
        <v>22.4</v>
      </c>
      <c r="G4" s="6">
        <v>0.3</v>
      </c>
      <c r="H4" s="8">
        <v>0.0736</v>
      </c>
      <c r="I4" s="8">
        <v>0.029747821626</v>
      </c>
      <c r="J4" s="9">
        <v>45.0</v>
      </c>
      <c r="K4" s="29" t="str">
        <f t="shared" si="1"/>
        <v>Enterprise</v>
      </c>
      <c r="L4" s="30">
        <f t="shared" si="2"/>
        <v>6.72</v>
      </c>
      <c r="M4" s="31">
        <f>PERCENTRANK(B$2:B$201,B4)*'Input Resturant Brands Scoring '!$B$3</f>
        <v>34.65</v>
      </c>
      <c r="N4" s="32">
        <f>(1-PERCENTRANK(J$2:J$201,J4))*'Input Resturant Brands Scoring '!$B$5</f>
        <v>0.27</v>
      </c>
      <c r="O4" s="31">
        <f>(1-PERCENTRANK(I$2:I$201,I4))*'Input Resturant Brands Scoring '!$B$6</f>
        <v>0.9</v>
      </c>
      <c r="P4" s="31">
        <f t="shared" si="3"/>
        <v>1.17</v>
      </c>
      <c r="Q4" s="31">
        <f>PERCENTRANK(L$2:L$201,L4)*'Input Resturant Brands Scoring '!$B$7</f>
        <v>27.615</v>
      </c>
      <c r="R4" s="31">
        <f t="shared" si="4"/>
        <v>63.435</v>
      </c>
      <c r="S4" s="12">
        <f t="shared" si="5"/>
        <v>42</v>
      </c>
      <c r="T4" s="12" t="str">
        <f t="shared" si="6"/>
        <v>A</v>
      </c>
      <c r="U4" s="33">
        <f t="shared" si="7"/>
        <v>5208053.76</v>
      </c>
      <c r="V4" s="13">
        <f t="shared" si="8"/>
        <v>0.295</v>
      </c>
      <c r="W4" s="34">
        <f t="shared" si="9"/>
        <v>-0.005</v>
      </c>
      <c r="X4" s="4">
        <f>IF(T4="S", B4*(1+'Input Fee and Elasticity Inputs'!$B$9), IF(T4="A", B4*(1+'Input Fee and Elasticity Inputs'!$B$10), IF(T4="B", B4*(1+'Input Fee and Elasticity Inputs'!$B$11), B4*(1+'Input Fee and Elasticity Inputs'!$B$12))))</f>
        <v>852508.8</v>
      </c>
      <c r="Y4" s="33">
        <f t="shared" si="10"/>
        <v>6.608</v>
      </c>
      <c r="Z4" s="33">
        <f t="shared" si="11"/>
        <v>5633378.15</v>
      </c>
      <c r="AA4" s="33">
        <f t="shared" si="12"/>
        <v>425324.3904</v>
      </c>
    </row>
    <row r="5">
      <c r="A5" s="3" t="s">
        <v>13</v>
      </c>
      <c r="B5" s="4">
        <v>264384.0</v>
      </c>
      <c r="C5" s="5">
        <v>299.0</v>
      </c>
      <c r="D5" s="5">
        <v>320.0</v>
      </c>
      <c r="E5" s="6">
        <v>0.56</v>
      </c>
      <c r="F5" s="7">
        <v>26.0</v>
      </c>
      <c r="G5" s="6">
        <v>0.28</v>
      </c>
      <c r="H5" s="8">
        <v>0.048</v>
      </c>
      <c r="I5" s="8">
        <v>0.029179747818</v>
      </c>
      <c r="J5" s="9">
        <v>21.0</v>
      </c>
      <c r="K5" s="29" t="str">
        <f t="shared" si="1"/>
        <v>Enterprise</v>
      </c>
      <c r="L5" s="30">
        <f t="shared" si="2"/>
        <v>7.28</v>
      </c>
      <c r="M5" s="31">
        <f>PERCENTRANK(B$2:B$201,B5)*'Input Resturant Brands Scoring '!$B$3</f>
        <v>34.475</v>
      </c>
      <c r="N5" s="32">
        <f>(1-PERCENTRANK(J$2:J$201,J5))*'Input Resturant Brands Scoring '!$B$5</f>
        <v>3.348</v>
      </c>
      <c r="O5" s="31">
        <f>(1-PERCENTRANK(I$2:I$201,I5))*'Input Resturant Brands Scoring '!$B$6</f>
        <v>1.02</v>
      </c>
      <c r="P5" s="31">
        <f t="shared" si="3"/>
        <v>4.368</v>
      </c>
      <c r="Q5" s="31">
        <f>PERCENTRANK(L$2:L$201,L5)*'Input Resturant Brands Scoring '!$B$7</f>
        <v>30.065</v>
      </c>
      <c r="R5" s="31">
        <f t="shared" si="4"/>
        <v>68.908</v>
      </c>
      <c r="S5" s="12">
        <f t="shared" si="5"/>
        <v>23</v>
      </c>
      <c r="T5" s="12" t="str">
        <f t="shared" si="6"/>
        <v>A</v>
      </c>
      <c r="U5" s="33">
        <f t="shared" si="7"/>
        <v>1924715.52</v>
      </c>
      <c r="V5" s="13">
        <f t="shared" si="8"/>
        <v>0.275</v>
      </c>
      <c r="W5" s="34">
        <f t="shared" si="9"/>
        <v>-0.005</v>
      </c>
      <c r="X5" s="4">
        <f>IF(T5="S", B5*(1+'Input Fee and Elasticity Inputs'!$B$9), IF(T5="A", B5*(1+'Input Fee and Elasticity Inputs'!$B$10), IF(T5="B", B5*(1+'Input Fee and Elasticity Inputs'!$B$11), B5*(1+'Input Fee and Elasticity Inputs'!$B$12))))</f>
        <v>290822.4</v>
      </c>
      <c r="Y5" s="33">
        <f t="shared" si="10"/>
        <v>7.15</v>
      </c>
      <c r="Z5" s="33">
        <f t="shared" si="11"/>
        <v>2079380.16</v>
      </c>
      <c r="AA5" s="33">
        <f t="shared" si="12"/>
        <v>154664.64</v>
      </c>
    </row>
    <row r="6">
      <c r="A6" s="3" t="s">
        <v>14</v>
      </c>
      <c r="B6" s="4">
        <v>238560.0</v>
      </c>
      <c r="C6" s="5">
        <v>82.0</v>
      </c>
      <c r="D6" s="5">
        <v>191.0</v>
      </c>
      <c r="E6" s="6">
        <v>0.22</v>
      </c>
      <c r="F6" s="7">
        <v>21.7</v>
      </c>
      <c r="G6" s="6">
        <v>0.25</v>
      </c>
      <c r="H6" s="8">
        <v>0.0452</v>
      </c>
      <c r="I6" s="8">
        <v>0.017983438116</v>
      </c>
      <c r="J6" s="9">
        <v>5.0</v>
      </c>
      <c r="K6" s="29" t="str">
        <f t="shared" si="1"/>
        <v>Enterprise</v>
      </c>
      <c r="L6" s="30">
        <f t="shared" si="2"/>
        <v>5.425</v>
      </c>
      <c r="M6" s="31">
        <f>PERCENTRANK(B$2:B$201,B6)*'Input Resturant Brands Scoring '!$B$3</f>
        <v>34.3</v>
      </c>
      <c r="N6" s="32">
        <f>(1-PERCENTRANK(J$2:J$201,J6))*'Input Resturant Brands Scoring '!$B$5</f>
        <v>15.462</v>
      </c>
      <c r="O6" s="31">
        <f>(1-PERCENTRANK(I$2:I$201,I6))*'Input Resturant Brands Scoring '!$B$6</f>
        <v>6.216</v>
      </c>
      <c r="P6" s="31">
        <f t="shared" si="3"/>
        <v>21.678</v>
      </c>
      <c r="Q6" s="31">
        <f>PERCENTRANK(L$2:L$201,L6)*'Input Resturant Brands Scoring '!$B$7</f>
        <v>17.78</v>
      </c>
      <c r="R6" s="31">
        <f t="shared" si="4"/>
        <v>73.758</v>
      </c>
      <c r="S6" s="12">
        <f t="shared" si="5"/>
        <v>9</v>
      </c>
      <c r="T6" s="12" t="str">
        <f t="shared" si="6"/>
        <v>S</v>
      </c>
      <c r="U6" s="33">
        <f t="shared" si="7"/>
        <v>1294188</v>
      </c>
      <c r="V6" s="13">
        <f t="shared" si="8"/>
        <v>0.23</v>
      </c>
      <c r="W6" s="34">
        <f t="shared" si="9"/>
        <v>-0.02</v>
      </c>
      <c r="X6" s="4">
        <f>IF(T6="S", B6*(1+'Input Fee and Elasticity Inputs'!$B$9), IF(T6="A", B6*(1+'Input Fee and Elasticity Inputs'!$B$10), IF(T6="B", B6*(1+'Input Fee and Elasticity Inputs'!$B$11), B6*(1+'Input Fee and Elasticity Inputs'!$B$12))))</f>
        <v>286272</v>
      </c>
      <c r="Y6" s="33">
        <f t="shared" si="10"/>
        <v>4.991</v>
      </c>
      <c r="Z6" s="33">
        <f t="shared" si="11"/>
        <v>1428783.552</v>
      </c>
      <c r="AA6" s="33">
        <f t="shared" si="12"/>
        <v>134595.552</v>
      </c>
    </row>
    <row r="7">
      <c r="A7" s="3" t="s">
        <v>15</v>
      </c>
      <c r="B7" s="4">
        <v>226872.0</v>
      </c>
      <c r="C7" s="5">
        <v>53.0</v>
      </c>
      <c r="D7" s="5">
        <v>58.0</v>
      </c>
      <c r="E7" s="6">
        <v>0.76</v>
      </c>
      <c r="F7" s="7">
        <v>16.6</v>
      </c>
      <c r="G7" s="6">
        <v>0.26</v>
      </c>
      <c r="H7" s="8">
        <v>0.0412</v>
      </c>
      <c r="I7" s="8">
        <v>0.016135534386</v>
      </c>
      <c r="J7" s="9">
        <v>5.0</v>
      </c>
      <c r="K7" s="29" t="str">
        <f t="shared" si="1"/>
        <v>Enterprise</v>
      </c>
      <c r="L7" s="30">
        <f t="shared" si="2"/>
        <v>4.316</v>
      </c>
      <c r="M7" s="31">
        <f>PERCENTRANK(B$2:B$201,B7)*'Input Resturant Brands Scoring '!$B$3</f>
        <v>34.125</v>
      </c>
      <c r="N7" s="32">
        <f>(1-PERCENTRANK(J$2:J$201,J7))*'Input Resturant Brands Scoring '!$B$5</f>
        <v>15.462</v>
      </c>
      <c r="O7" s="31">
        <f>(1-PERCENTRANK(I$2:I$201,I7))*'Input Resturant Brands Scoring '!$B$6</f>
        <v>7.896</v>
      </c>
      <c r="P7" s="31">
        <f t="shared" si="3"/>
        <v>23.358</v>
      </c>
      <c r="Q7" s="31">
        <f>PERCENTRANK(L$2:L$201,L7)*'Input Resturant Brands Scoring '!$B$7</f>
        <v>5.81</v>
      </c>
      <c r="R7" s="31">
        <f t="shared" si="4"/>
        <v>63.293</v>
      </c>
      <c r="S7" s="12">
        <f t="shared" si="5"/>
        <v>44</v>
      </c>
      <c r="T7" s="12" t="str">
        <f t="shared" si="6"/>
        <v>A</v>
      </c>
      <c r="U7" s="33">
        <f t="shared" si="7"/>
        <v>979179.552</v>
      </c>
      <c r="V7" s="13">
        <f t="shared" si="8"/>
        <v>0.255</v>
      </c>
      <c r="W7" s="34">
        <f t="shared" si="9"/>
        <v>-0.005</v>
      </c>
      <c r="X7" s="4">
        <f>IF(T7="S", B7*(1+'Input Fee and Elasticity Inputs'!$B$9), IF(T7="A", B7*(1+'Input Fee and Elasticity Inputs'!$B$10), IF(T7="B", B7*(1+'Input Fee and Elasticity Inputs'!$B$11), B7*(1+'Input Fee and Elasticity Inputs'!$B$12))))</f>
        <v>249559.2</v>
      </c>
      <c r="Y7" s="33">
        <f t="shared" si="10"/>
        <v>4.233</v>
      </c>
      <c r="Z7" s="33">
        <f t="shared" si="11"/>
        <v>1056384.094</v>
      </c>
      <c r="AA7" s="33">
        <f t="shared" si="12"/>
        <v>77204.5416</v>
      </c>
    </row>
    <row r="8">
      <c r="A8" s="3" t="s">
        <v>16</v>
      </c>
      <c r="B8" s="4">
        <v>224136.0</v>
      </c>
      <c r="C8" s="5">
        <v>42.0</v>
      </c>
      <c r="D8" s="5">
        <v>86.0</v>
      </c>
      <c r="E8" s="6">
        <v>0.27</v>
      </c>
      <c r="F8" s="7">
        <v>16.0</v>
      </c>
      <c r="G8" s="6">
        <v>0.3</v>
      </c>
      <c r="H8" s="8">
        <v>0.07</v>
      </c>
      <c r="I8" s="8">
        <v>0.01671272658</v>
      </c>
      <c r="J8" s="9">
        <v>14.0</v>
      </c>
      <c r="K8" s="29" t="str">
        <f t="shared" si="1"/>
        <v>Enterprise</v>
      </c>
      <c r="L8" s="30">
        <f t="shared" si="2"/>
        <v>4.8</v>
      </c>
      <c r="M8" s="31">
        <f>PERCENTRANK(B$2:B$201,B8)*'Input Resturant Brands Scoring '!$B$3</f>
        <v>33.95</v>
      </c>
      <c r="N8" s="32">
        <f>(1-PERCENTRANK(J$2:J$201,J8))*'Input Resturant Brands Scoring '!$B$5</f>
        <v>6.426</v>
      </c>
      <c r="O8" s="31">
        <f>(1-PERCENTRANK(I$2:I$201,I8))*'Input Resturant Brands Scoring '!$B$6</f>
        <v>7.236</v>
      </c>
      <c r="P8" s="31">
        <f t="shared" si="3"/>
        <v>13.662</v>
      </c>
      <c r="Q8" s="31">
        <f>PERCENTRANK(L$2:L$201,L8)*'Input Resturant Brands Scoring '!$B$7</f>
        <v>10.745</v>
      </c>
      <c r="R8" s="31">
        <f t="shared" si="4"/>
        <v>58.357</v>
      </c>
      <c r="S8" s="12">
        <f t="shared" si="5"/>
        <v>60</v>
      </c>
      <c r="T8" s="12" t="str">
        <f t="shared" si="6"/>
        <v>B</v>
      </c>
      <c r="U8" s="33">
        <f t="shared" si="7"/>
        <v>1075852.8</v>
      </c>
      <c r="V8" s="13">
        <f t="shared" si="8"/>
        <v>0.3</v>
      </c>
      <c r="W8" s="34">
        <f t="shared" si="9"/>
        <v>0</v>
      </c>
      <c r="X8" s="4">
        <f>IF(T8="S", B8*(1+'Input Fee and Elasticity Inputs'!$B$9), IF(T8="A", B8*(1+'Input Fee and Elasticity Inputs'!$B$10), IF(T8="B", B8*(1+'Input Fee and Elasticity Inputs'!$B$11), B8*(1+'Input Fee and Elasticity Inputs'!$B$12))))</f>
        <v>212929.2</v>
      </c>
      <c r="Y8" s="33">
        <f t="shared" si="10"/>
        <v>4.8</v>
      </c>
      <c r="Z8" s="33">
        <f t="shared" si="11"/>
        <v>1022060.16</v>
      </c>
      <c r="AA8" s="33">
        <f t="shared" si="12"/>
        <v>-53792.64</v>
      </c>
    </row>
    <row r="9">
      <c r="A9" s="3" t="s">
        <v>17</v>
      </c>
      <c r="B9" s="4">
        <v>221760.0</v>
      </c>
      <c r="C9" s="5">
        <v>72.0</v>
      </c>
      <c r="D9" s="5">
        <v>300.0</v>
      </c>
      <c r="E9" s="6">
        <v>0.37</v>
      </c>
      <c r="F9" s="7">
        <v>15.1</v>
      </c>
      <c r="G9" s="6">
        <v>0.24</v>
      </c>
      <c r="H9" s="8">
        <v>0.0604</v>
      </c>
      <c r="I9" s="8">
        <v>0.014803598087999999</v>
      </c>
      <c r="J9" s="9">
        <v>28.0</v>
      </c>
      <c r="K9" s="29" t="str">
        <f t="shared" si="1"/>
        <v>Enterprise</v>
      </c>
      <c r="L9" s="30">
        <f t="shared" si="2"/>
        <v>3.624</v>
      </c>
      <c r="M9" s="31">
        <f>PERCENTRANK(B$2:B$201,B9)*'Input Resturant Brands Scoring '!$B$3</f>
        <v>33.775</v>
      </c>
      <c r="N9" s="32">
        <f>(1-PERCENTRANK(J$2:J$201,J9))*'Input Resturant Brands Scoring '!$B$5</f>
        <v>1.62</v>
      </c>
      <c r="O9" s="31">
        <f>(1-PERCENTRANK(I$2:I$201,I9))*'Input Resturant Brands Scoring '!$B$6</f>
        <v>8.808</v>
      </c>
      <c r="P9" s="31">
        <f t="shared" si="3"/>
        <v>10.428</v>
      </c>
      <c r="Q9" s="31">
        <f>PERCENTRANK(L$2:L$201,L9)*'Input Resturant Brands Scoring '!$B$7</f>
        <v>1.75</v>
      </c>
      <c r="R9" s="31">
        <f t="shared" si="4"/>
        <v>45.953</v>
      </c>
      <c r="S9" s="12">
        <f t="shared" si="5"/>
        <v>130</v>
      </c>
      <c r="T9" s="12" t="str">
        <f t="shared" si="6"/>
        <v>B</v>
      </c>
      <c r="U9" s="33">
        <f t="shared" si="7"/>
        <v>803658.24</v>
      </c>
      <c r="V9" s="13">
        <f t="shared" si="8"/>
        <v>0.26</v>
      </c>
      <c r="W9" s="34">
        <f t="shared" si="9"/>
        <v>0.02</v>
      </c>
      <c r="X9" s="4">
        <f>IF(T9="S", B9*(1+'Input Fee and Elasticity Inputs'!$B$9), IF(T9="A", B9*(1+'Input Fee and Elasticity Inputs'!$B$10), IF(T9="B", B9*(1+'Input Fee and Elasticity Inputs'!$B$11), B9*(1+'Input Fee and Elasticity Inputs'!$B$12))))</f>
        <v>210672</v>
      </c>
      <c r="Y9" s="33">
        <f t="shared" si="10"/>
        <v>3.926</v>
      </c>
      <c r="Z9" s="33">
        <f t="shared" si="11"/>
        <v>827098.272</v>
      </c>
      <c r="AA9" s="33">
        <f t="shared" si="12"/>
        <v>23440.032</v>
      </c>
    </row>
    <row r="10">
      <c r="A10" s="3" t="s">
        <v>18</v>
      </c>
      <c r="B10" s="4">
        <v>216372.0</v>
      </c>
      <c r="C10" s="5">
        <v>93.0</v>
      </c>
      <c r="D10" s="5">
        <v>930.0</v>
      </c>
      <c r="E10" s="6">
        <v>0.55</v>
      </c>
      <c r="F10" s="7">
        <v>19.8</v>
      </c>
      <c r="G10" s="6">
        <v>0.26</v>
      </c>
      <c r="H10" s="8">
        <v>0.0892</v>
      </c>
      <c r="I10" s="8">
        <v>0.014041634688</v>
      </c>
      <c r="J10" s="9">
        <v>13.0</v>
      </c>
      <c r="K10" s="29" t="str">
        <f t="shared" si="1"/>
        <v>Enterprise</v>
      </c>
      <c r="L10" s="30">
        <f t="shared" si="2"/>
        <v>5.148</v>
      </c>
      <c r="M10" s="31">
        <f>PERCENTRANK(B$2:B$201,B10)*'Input Resturant Brands Scoring '!$B$3</f>
        <v>33.6</v>
      </c>
      <c r="N10" s="32">
        <f>(1-PERCENTRANK(J$2:J$201,J10))*'Input Resturant Brands Scoring '!$B$5</f>
        <v>7.056</v>
      </c>
      <c r="O10" s="31">
        <f>(1-PERCENTRANK(I$2:I$201,I10))*'Input Resturant Brands Scoring '!$B$6</f>
        <v>9.948</v>
      </c>
      <c r="P10" s="31">
        <f t="shared" si="3"/>
        <v>17.004</v>
      </c>
      <c r="Q10" s="31">
        <f>PERCENTRANK(L$2:L$201,L10)*'Input Resturant Brands Scoring '!$B$7</f>
        <v>14.595</v>
      </c>
      <c r="R10" s="31">
        <f t="shared" si="4"/>
        <v>65.199</v>
      </c>
      <c r="S10" s="12">
        <f t="shared" si="5"/>
        <v>35</v>
      </c>
      <c r="T10" s="12" t="str">
        <f t="shared" si="6"/>
        <v>A</v>
      </c>
      <c r="U10" s="33">
        <f t="shared" si="7"/>
        <v>1113883.056</v>
      </c>
      <c r="V10" s="13">
        <f t="shared" si="8"/>
        <v>0.255</v>
      </c>
      <c r="W10" s="34">
        <f t="shared" si="9"/>
        <v>-0.005</v>
      </c>
      <c r="X10" s="4">
        <f>IF(T10="S", B10*(1+'Input Fee and Elasticity Inputs'!$B$9), IF(T10="A", B10*(1+'Input Fee and Elasticity Inputs'!$B$10), IF(T10="B", B10*(1+'Input Fee and Elasticity Inputs'!$B$11), B10*(1+'Input Fee and Elasticity Inputs'!$B$12))))</f>
        <v>238009.2</v>
      </c>
      <c r="Y10" s="33">
        <f t="shared" si="10"/>
        <v>5.049</v>
      </c>
      <c r="Z10" s="33">
        <f t="shared" si="11"/>
        <v>1201708.451</v>
      </c>
      <c r="AA10" s="33">
        <f t="shared" si="12"/>
        <v>87825.3948</v>
      </c>
    </row>
    <row r="11">
      <c r="A11" s="3" t="s">
        <v>19</v>
      </c>
      <c r="B11" s="4">
        <v>215280.0</v>
      </c>
      <c r="C11" s="5">
        <v>41.0</v>
      </c>
      <c r="D11" s="5">
        <v>216.0</v>
      </c>
      <c r="E11" s="6">
        <v>0.93</v>
      </c>
      <c r="F11" s="7">
        <v>17.4</v>
      </c>
      <c r="G11" s="6">
        <v>0.25</v>
      </c>
      <c r="H11" s="8">
        <v>0.0756</v>
      </c>
      <c r="I11" s="8">
        <v>0.01434146691</v>
      </c>
      <c r="J11" s="9">
        <v>37.0</v>
      </c>
      <c r="K11" s="29" t="str">
        <f t="shared" si="1"/>
        <v>Enterprise</v>
      </c>
      <c r="L11" s="30">
        <f t="shared" si="2"/>
        <v>4.35</v>
      </c>
      <c r="M11" s="31">
        <f>PERCENTRANK(B$2:B$201,B11)*'Input Resturant Brands Scoring '!$B$3</f>
        <v>33.425</v>
      </c>
      <c r="N11" s="32">
        <f>(1-PERCENTRANK(J$2:J$201,J11))*'Input Resturant Brands Scoring '!$B$5</f>
        <v>0.81</v>
      </c>
      <c r="O11" s="31">
        <f>(1-PERCENTRANK(I$2:I$201,I11))*'Input Resturant Brands Scoring '!$B$6</f>
        <v>9.288</v>
      </c>
      <c r="P11" s="31">
        <f t="shared" si="3"/>
        <v>10.098</v>
      </c>
      <c r="Q11" s="31">
        <f>PERCENTRANK(L$2:L$201,L11)*'Input Resturant Brands Scoring '!$B$7</f>
        <v>6.51</v>
      </c>
      <c r="R11" s="31">
        <f t="shared" si="4"/>
        <v>50.033</v>
      </c>
      <c r="S11" s="12">
        <f t="shared" si="5"/>
        <v>107</v>
      </c>
      <c r="T11" s="12" t="str">
        <f t="shared" si="6"/>
        <v>B</v>
      </c>
      <c r="U11" s="33">
        <f t="shared" si="7"/>
        <v>936468</v>
      </c>
      <c r="V11" s="13">
        <f t="shared" si="8"/>
        <v>0.27</v>
      </c>
      <c r="W11" s="34">
        <f t="shared" si="9"/>
        <v>0.02</v>
      </c>
      <c r="X11" s="4">
        <f>IF(T11="S", B11*(1+'Input Fee and Elasticity Inputs'!$B$9), IF(T11="A", B11*(1+'Input Fee and Elasticity Inputs'!$B$10), IF(T11="B", B11*(1+'Input Fee and Elasticity Inputs'!$B$11), B11*(1+'Input Fee and Elasticity Inputs'!$B$12))))</f>
        <v>204516</v>
      </c>
      <c r="Y11" s="33">
        <f t="shared" si="10"/>
        <v>4.698</v>
      </c>
      <c r="Z11" s="33">
        <f t="shared" si="11"/>
        <v>960816.168</v>
      </c>
      <c r="AA11" s="33">
        <f t="shared" si="12"/>
        <v>24348.168</v>
      </c>
    </row>
    <row r="12">
      <c r="A12" s="3" t="s">
        <v>20</v>
      </c>
      <c r="B12" s="4">
        <v>211200.0</v>
      </c>
      <c r="C12" s="5">
        <v>38.0</v>
      </c>
      <c r="D12" s="5">
        <v>46.0</v>
      </c>
      <c r="E12" s="6">
        <v>0.68</v>
      </c>
      <c r="F12" s="7">
        <v>21.4</v>
      </c>
      <c r="G12" s="6">
        <v>0.24</v>
      </c>
      <c r="H12" s="8">
        <v>0.0336</v>
      </c>
      <c r="I12" s="8">
        <v>0.013798988556</v>
      </c>
      <c r="J12" s="9">
        <v>3.0</v>
      </c>
      <c r="K12" s="29" t="str">
        <f t="shared" si="1"/>
        <v>Enterprise</v>
      </c>
      <c r="L12" s="30">
        <f t="shared" si="2"/>
        <v>5.136</v>
      </c>
      <c r="M12" s="31">
        <f>PERCENTRANK(B$2:B$201,B12)*'Input Resturant Brands Scoring '!$B$3</f>
        <v>33.25</v>
      </c>
      <c r="N12" s="32">
        <f>(1-PERCENTRANK(J$2:J$201,J12))*'Input Resturant Brands Scoring '!$B$5</f>
        <v>18</v>
      </c>
      <c r="O12" s="31">
        <f>(1-PERCENTRANK(I$2:I$201,I12))*'Input Resturant Brands Scoring '!$B$6</f>
        <v>10.188</v>
      </c>
      <c r="P12" s="31">
        <f t="shared" si="3"/>
        <v>28.188</v>
      </c>
      <c r="Q12" s="31">
        <f>PERCENTRANK(L$2:L$201,L12)*'Input Resturant Brands Scoring '!$B$7</f>
        <v>14.42</v>
      </c>
      <c r="R12" s="31">
        <f t="shared" si="4"/>
        <v>75.858</v>
      </c>
      <c r="S12" s="12">
        <f t="shared" si="5"/>
        <v>7</v>
      </c>
      <c r="T12" s="12" t="str">
        <f t="shared" si="6"/>
        <v>S</v>
      </c>
      <c r="U12" s="33">
        <f t="shared" si="7"/>
        <v>1084723.2</v>
      </c>
      <c r="V12" s="13">
        <f t="shared" si="8"/>
        <v>0.22</v>
      </c>
      <c r="W12" s="34">
        <f t="shared" si="9"/>
        <v>-0.02</v>
      </c>
      <c r="X12" s="4">
        <f>IF(T12="S", B12*(1+'Input Fee and Elasticity Inputs'!$B$9), IF(T12="A", B12*(1+'Input Fee and Elasticity Inputs'!$B$10), IF(T12="B", B12*(1+'Input Fee and Elasticity Inputs'!$B$11), B12*(1+'Input Fee and Elasticity Inputs'!$B$12))))</f>
        <v>253440</v>
      </c>
      <c r="Y12" s="33">
        <f t="shared" si="10"/>
        <v>4.708</v>
      </c>
      <c r="Z12" s="33">
        <f t="shared" si="11"/>
        <v>1193195.52</v>
      </c>
      <c r="AA12" s="33">
        <f t="shared" si="12"/>
        <v>108472.32</v>
      </c>
    </row>
    <row r="13">
      <c r="A13" s="3" t="s">
        <v>21</v>
      </c>
      <c r="B13" s="4">
        <v>209760.0</v>
      </c>
      <c r="C13" s="5">
        <v>98.0</v>
      </c>
      <c r="D13" s="5">
        <v>184.0</v>
      </c>
      <c r="E13" s="6">
        <v>0.59</v>
      </c>
      <c r="F13" s="7">
        <v>25.4</v>
      </c>
      <c r="G13" s="6">
        <v>0.3</v>
      </c>
      <c r="H13" s="8">
        <v>0.0868</v>
      </c>
      <c r="I13" s="8">
        <v>0.031642305042</v>
      </c>
      <c r="J13" s="9">
        <v>34.0</v>
      </c>
      <c r="K13" s="29" t="str">
        <f t="shared" si="1"/>
        <v>Enterprise</v>
      </c>
      <c r="L13" s="30">
        <f t="shared" si="2"/>
        <v>7.62</v>
      </c>
      <c r="M13" s="31">
        <f>PERCENTRANK(B$2:B$201,B13)*'Input Resturant Brands Scoring '!$B$3</f>
        <v>33.075</v>
      </c>
      <c r="N13" s="32">
        <f>(1-PERCENTRANK(J$2:J$201,J13))*'Input Resturant Brands Scoring '!$B$5</f>
        <v>1.08</v>
      </c>
      <c r="O13" s="31">
        <f>(1-PERCENTRANK(I$2:I$201,I13))*'Input Resturant Brands Scoring '!$B$6</f>
        <v>0.48</v>
      </c>
      <c r="P13" s="31">
        <f t="shared" si="3"/>
        <v>1.56</v>
      </c>
      <c r="Q13" s="31">
        <f>PERCENTRANK(L$2:L$201,L13)*'Input Resturant Brands Scoring '!$B$7</f>
        <v>31.85</v>
      </c>
      <c r="R13" s="31">
        <f t="shared" si="4"/>
        <v>66.485</v>
      </c>
      <c r="S13" s="12">
        <f t="shared" si="5"/>
        <v>31</v>
      </c>
      <c r="T13" s="12" t="str">
        <f t="shared" si="6"/>
        <v>A</v>
      </c>
      <c r="U13" s="33">
        <f t="shared" si="7"/>
        <v>1598371.2</v>
      </c>
      <c r="V13" s="13">
        <f t="shared" si="8"/>
        <v>0.295</v>
      </c>
      <c r="W13" s="34">
        <f t="shared" si="9"/>
        <v>-0.005</v>
      </c>
      <c r="X13" s="4">
        <f>IF(T13="S", B13*(1+'Input Fee and Elasticity Inputs'!$B$9), IF(T13="A", B13*(1+'Input Fee and Elasticity Inputs'!$B$10), IF(T13="B", B13*(1+'Input Fee and Elasticity Inputs'!$B$11), B13*(1+'Input Fee and Elasticity Inputs'!$B$12))))</f>
        <v>230736</v>
      </c>
      <c r="Y13" s="33">
        <f t="shared" si="10"/>
        <v>7.493</v>
      </c>
      <c r="Z13" s="33">
        <f t="shared" si="11"/>
        <v>1728904.848</v>
      </c>
      <c r="AA13" s="33">
        <f t="shared" si="12"/>
        <v>130533.648</v>
      </c>
    </row>
    <row r="14">
      <c r="A14" s="3" t="s">
        <v>22</v>
      </c>
      <c r="B14" s="4">
        <v>209088.0</v>
      </c>
      <c r="C14" s="5">
        <v>42.0</v>
      </c>
      <c r="D14" s="5">
        <v>86.0</v>
      </c>
      <c r="E14" s="6">
        <v>0.99</v>
      </c>
      <c r="F14" s="7">
        <v>20.6</v>
      </c>
      <c r="G14" s="6">
        <v>0.29</v>
      </c>
      <c r="H14" s="8">
        <v>0.0368</v>
      </c>
      <c r="I14" s="8">
        <v>0.034377075756</v>
      </c>
      <c r="J14" s="9">
        <v>10.0</v>
      </c>
      <c r="K14" s="29" t="str">
        <f t="shared" si="1"/>
        <v>Enterprise</v>
      </c>
      <c r="L14" s="30">
        <f t="shared" si="2"/>
        <v>5.974</v>
      </c>
      <c r="M14" s="31">
        <f>PERCENTRANK(B$2:B$201,B14)*'Input Resturant Brands Scoring '!$B$3</f>
        <v>32.9</v>
      </c>
      <c r="N14" s="32">
        <f>(1-PERCENTRANK(J$2:J$201,J14))*'Input Resturant Brands Scoring '!$B$5</f>
        <v>9.054</v>
      </c>
      <c r="O14" s="31">
        <f>(1-PERCENTRANK(I$2:I$201,I14))*'Input Resturant Brands Scoring '!$B$6</f>
        <v>0.12</v>
      </c>
      <c r="P14" s="31">
        <f t="shared" si="3"/>
        <v>9.174</v>
      </c>
      <c r="Q14" s="31">
        <f>PERCENTRANK(L$2:L$201,L14)*'Input Resturant Brands Scoring '!$B$7</f>
        <v>22.855</v>
      </c>
      <c r="R14" s="31">
        <f t="shared" si="4"/>
        <v>64.929</v>
      </c>
      <c r="S14" s="12">
        <f t="shared" si="5"/>
        <v>36</v>
      </c>
      <c r="T14" s="12" t="str">
        <f>IF(S14&lt;=25,"S",IF(S14&lt;=50,"A",IF(S14&lt;=150,"B","C")))</f>
        <v>A</v>
      </c>
      <c r="U14" s="33">
        <f t="shared" si="7"/>
        <v>1249091.712</v>
      </c>
      <c r="V14" s="13">
        <f t="shared" si="8"/>
        <v>0.285</v>
      </c>
      <c r="W14" s="34">
        <f t="shared" si="9"/>
        <v>-0.005</v>
      </c>
      <c r="X14" s="4">
        <f>IF(T14="S", B14*(1+'Input Fee and Elasticity Inputs'!$B$9), IF(T14="A", B14*(1+'Input Fee and Elasticity Inputs'!$B$10), IF(T14="B", B14*(1+'Input Fee and Elasticity Inputs'!$B$11), B14*(1+'Input Fee and Elasticity Inputs'!$B$12))))</f>
        <v>229996.8</v>
      </c>
      <c r="Y14" s="33">
        <f t="shared" si="10"/>
        <v>5.871</v>
      </c>
      <c r="Z14" s="33">
        <f t="shared" si="11"/>
        <v>1350311.213</v>
      </c>
      <c r="AA14" s="33">
        <f t="shared" si="12"/>
        <v>101219.5008</v>
      </c>
    </row>
    <row r="15">
      <c r="A15" s="3" t="s">
        <v>23</v>
      </c>
      <c r="B15" s="4">
        <v>209040.0</v>
      </c>
      <c r="C15" s="5">
        <v>41.0</v>
      </c>
      <c r="D15" s="5">
        <v>103.0</v>
      </c>
      <c r="E15" s="6">
        <v>0.28</v>
      </c>
      <c r="F15" s="7">
        <v>34.4</v>
      </c>
      <c r="G15" s="6">
        <v>0.25</v>
      </c>
      <c r="H15" s="8">
        <v>0.1328</v>
      </c>
      <c r="I15" s="8">
        <v>0.031960196466</v>
      </c>
      <c r="J15" s="9">
        <v>24.0</v>
      </c>
      <c r="K15" s="29" t="str">
        <f t="shared" si="1"/>
        <v>Enterprise</v>
      </c>
      <c r="L15" s="30">
        <f t="shared" si="2"/>
        <v>8.6</v>
      </c>
      <c r="M15" s="31">
        <f>PERCENTRANK(B$2:B$201,B15)*'Input Resturant Brands Scoring '!$B$3</f>
        <v>32.725</v>
      </c>
      <c r="N15" s="32">
        <f>(1-PERCENTRANK(J$2:J$201,J15))*'Input Resturant Brands Scoring '!$B$5</f>
        <v>2.448</v>
      </c>
      <c r="O15" s="31">
        <f>(1-PERCENTRANK(I$2:I$201,I15))*'Input Resturant Brands Scoring '!$B$6</f>
        <v>0.42</v>
      </c>
      <c r="P15" s="31">
        <f t="shared" si="3"/>
        <v>2.868</v>
      </c>
      <c r="Q15" s="31">
        <f>PERCENTRANK(L$2:L$201,L15)*'Input Resturant Brands Scoring '!$B$7</f>
        <v>33.775</v>
      </c>
      <c r="R15" s="31">
        <f t="shared" si="4"/>
        <v>69.368</v>
      </c>
      <c r="S15" s="12">
        <f t="shared" si="5"/>
        <v>21</v>
      </c>
      <c r="T15" s="12" t="str">
        <f t="shared" ref="T15:T201" si="13">IF(S15&lt;=10,"S",IF(S15&lt;=50,"A",IF(S15&lt;=150,"B","C")))</f>
        <v>A</v>
      </c>
      <c r="U15" s="33">
        <f t="shared" si="7"/>
        <v>1797744</v>
      </c>
      <c r="V15" s="13">
        <f t="shared" si="8"/>
        <v>0.245</v>
      </c>
      <c r="W15" s="34">
        <f t="shared" si="9"/>
        <v>-0.005</v>
      </c>
      <c r="X15" s="4">
        <f>IF(T15="S", B15*(1+'Input Fee and Elasticity Inputs'!$B$9), IF(T15="A", B15*(1+'Input Fee and Elasticity Inputs'!$B$10), IF(T15="B", B15*(1+'Input Fee and Elasticity Inputs'!$B$11), B15*(1+'Input Fee and Elasticity Inputs'!$B$12))))</f>
        <v>229944</v>
      </c>
      <c r="Y15" s="33">
        <f t="shared" si="10"/>
        <v>8.428</v>
      </c>
      <c r="Z15" s="33">
        <f t="shared" si="11"/>
        <v>1937968.032</v>
      </c>
      <c r="AA15" s="33">
        <f t="shared" si="12"/>
        <v>140224.032</v>
      </c>
    </row>
    <row r="16">
      <c r="A16" s="3" t="s">
        <v>24</v>
      </c>
      <c r="B16" s="4">
        <v>183120.0</v>
      </c>
      <c r="C16" s="5">
        <v>65.0</v>
      </c>
      <c r="D16" s="5">
        <v>73.0</v>
      </c>
      <c r="E16" s="6">
        <v>0.46</v>
      </c>
      <c r="F16" s="7">
        <v>20.2</v>
      </c>
      <c r="G16" s="6">
        <v>0.27</v>
      </c>
      <c r="H16" s="8">
        <v>0.0912</v>
      </c>
      <c r="I16" s="8">
        <v>0.032994187794</v>
      </c>
      <c r="J16" s="9">
        <v>20.0</v>
      </c>
      <c r="K16" s="29" t="str">
        <f t="shared" si="1"/>
        <v>Enterprise</v>
      </c>
      <c r="L16" s="30">
        <f t="shared" si="2"/>
        <v>5.454</v>
      </c>
      <c r="M16" s="31">
        <f>PERCENTRANK(B$2:B$201,B16)*'Input Resturant Brands Scoring '!$B$3</f>
        <v>32.55</v>
      </c>
      <c r="N16" s="32">
        <f>(1-PERCENTRANK(J$2:J$201,J16))*'Input Resturant Brands Scoring '!$B$5</f>
        <v>3.528</v>
      </c>
      <c r="O16" s="31">
        <f>(1-PERCENTRANK(I$2:I$201,I16))*'Input Resturant Brands Scoring '!$B$6</f>
        <v>0.24</v>
      </c>
      <c r="P16" s="31">
        <f t="shared" si="3"/>
        <v>3.768</v>
      </c>
      <c r="Q16" s="31">
        <f>PERCENTRANK(L$2:L$201,L16)*'Input Resturant Brands Scoring '!$B$7</f>
        <v>18.305</v>
      </c>
      <c r="R16" s="31">
        <f t="shared" si="4"/>
        <v>54.623</v>
      </c>
      <c r="S16" s="12">
        <f t="shared" si="5"/>
        <v>78</v>
      </c>
      <c r="T16" s="12" t="str">
        <f t="shared" si="13"/>
        <v>B</v>
      </c>
      <c r="U16" s="33">
        <f t="shared" si="7"/>
        <v>998736.48</v>
      </c>
      <c r="V16" s="13">
        <f t="shared" si="8"/>
        <v>0.29</v>
      </c>
      <c r="W16" s="34">
        <f t="shared" si="9"/>
        <v>0.02</v>
      </c>
      <c r="X16" s="4">
        <f>IF(T16="S", B16*(1+'Input Fee and Elasticity Inputs'!$B$9), IF(T16="A", B16*(1+'Input Fee and Elasticity Inputs'!$B$10), IF(T16="B", B16*(1+'Input Fee and Elasticity Inputs'!$B$11), B16*(1+'Input Fee and Elasticity Inputs'!$B$12))))</f>
        <v>173964</v>
      </c>
      <c r="Y16" s="33">
        <f t="shared" si="10"/>
        <v>5.858</v>
      </c>
      <c r="Z16" s="33">
        <f t="shared" si="11"/>
        <v>1019081.112</v>
      </c>
      <c r="AA16" s="33">
        <f t="shared" si="12"/>
        <v>20344.632</v>
      </c>
    </row>
    <row r="17">
      <c r="A17" s="3" t="s">
        <v>25</v>
      </c>
      <c r="B17" s="4">
        <v>173052.0</v>
      </c>
      <c r="C17" s="5">
        <v>51.0</v>
      </c>
      <c r="D17" s="5">
        <v>204.0</v>
      </c>
      <c r="E17" s="6">
        <v>0.84</v>
      </c>
      <c r="F17" s="7">
        <v>13.7</v>
      </c>
      <c r="G17" s="6">
        <v>0.3</v>
      </c>
      <c r="H17" s="8">
        <v>0.0692</v>
      </c>
      <c r="I17" s="8">
        <v>0.014296290474</v>
      </c>
      <c r="J17" s="9">
        <v>18.0</v>
      </c>
      <c r="K17" s="29" t="str">
        <f t="shared" si="1"/>
        <v>Enterprise</v>
      </c>
      <c r="L17" s="30">
        <f t="shared" si="2"/>
        <v>4.11</v>
      </c>
      <c r="M17" s="31">
        <f>PERCENTRANK(B$2:B$201,B17)*'Input Resturant Brands Scoring '!$B$3</f>
        <v>32.375</v>
      </c>
      <c r="N17" s="32">
        <f>(1-PERCENTRANK(J$2:J$201,J17))*'Input Resturant Brands Scoring '!$B$5</f>
        <v>3.978</v>
      </c>
      <c r="O17" s="31">
        <f>(1-PERCENTRANK(I$2:I$201,I17))*'Input Resturant Brands Scoring '!$B$6</f>
        <v>9.468</v>
      </c>
      <c r="P17" s="31">
        <f t="shared" si="3"/>
        <v>13.446</v>
      </c>
      <c r="Q17" s="31">
        <f>PERCENTRANK(L$2:L$201,L17)*'Input Resturant Brands Scoring '!$B$7</f>
        <v>4.585</v>
      </c>
      <c r="R17" s="31">
        <f t="shared" si="4"/>
        <v>50.406</v>
      </c>
      <c r="S17" s="12">
        <f t="shared" si="5"/>
        <v>102</v>
      </c>
      <c r="T17" s="12" t="str">
        <f t="shared" si="13"/>
        <v>B</v>
      </c>
      <c r="U17" s="33">
        <f t="shared" si="7"/>
        <v>711243.72</v>
      </c>
      <c r="V17" s="13">
        <f t="shared" si="8"/>
        <v>0.3</v>
      </c>
      <c r="W17" s="34">
        <f t="shared" si="9"/>
        <v>0</v>
      </c>
      <c r="X17" s="4">
        <f>IF(T17="S", B17*(1+'Input Fee and Elasticity Inputs'!$B$9), IF(T17="A", B17*(1+'Input Fee and Elasticity Inputs'!$B$10), IF(T17="B", B17*(1+'Input Fee and Elasticity Inputs'!$B$11), B17*(1+'Input Fee and Elasticity Inputs'!$B$12))))</f>
        <v>164399.4</v>
      </c>
      <c r="Y17" s="33">
        <f t="shared" si="10"/>
        <v>4.11</v>
      </c>
      <c r="Z17" s="33">
        <f t="shared" si="11"/>
        <v>675681.534</v>
      </c>
      <c r="AA17" s="33">
        <f t="shared" si="12"/>
        <v>-35562.186</v>
      </c>
    </row>
    <row r="18">
      <c r="A18" s="3" t="s">
        <v>26</v>
      </c>
      <c r="B18" s="4">
        <v>170448.0</v>
      </c>
      <c r="C18" s="5">
        <v>43.0</v>
      </c>
      <c r="D18" s="5">
        <v>74.0</v>
      </c>
      <c r="E18" s="6">
        <v>0.49</v>
      </c>
      <c r="F18" s="7">
        <v>21.6</v>
      </c>
      <c r="G18" s="6">
        <v>0.3</v>
      </c>
      <c r="H18" s="8">
        <v>0.09</v>
      </c>
      <c r="I18" s="8">
        <v>0.023684085233999997</v>
      </c>
      <c r="J18" s="9">
        <v>25.0</v>
      </c>
      <c r="K18" s="29" t="str">
        <f t="shared" si="1"/>
        <v>Enterprise</v>
      </c>
      <c r="L18" s="30">
        <f t="shared" si="2"/>
        <v>6.48</v>
      </c>
      <c r="M18" s="31">
        <f>PERCENTRANK(B$2:B$201,B18)*'Input Resturant Brands Scoring '!$B$3</f>
        <v>32.2</v>
      </c>
      <c r="N18" s="32">
        <f>(1-PERCENTRANK(J$2:J$201,J18))*'Input Resturant Brands Scoring '!$B$5</f>
        <v>2.358</v>
      </c>
      <c r="O18" s="31">
        <f>(1-PERCENTRANK(I$2:I$201,I18))*'Input Resturant Brands Scoring '!$B$6</f>
        <v>3.252</v>
      </c>
      <c r="P18" s="31">
        <f t="shared" si="3"/>
        <v>5.61</v>
      </c>
      <c r="Q18" s="31">
        <f>PERCENTRANK(L$2:L$201,L18)*'Input Resturant Brands Scoring '!$B$7</f>
        <v>25.515</v>
      </c>
      <c r="R18" s="31">
        <f t="shared" si="4"/>
        <v>63.325</v>
      </c>
      <c r="S18" s="12">
        <f t="shared" si="5"/>
        <v>43</v>
      </c>
      <c r="T18" s="12" t="str">
        <f t="shared" si="13"/>
        <v>A</v>
      </c>
      <c r="U18" s="33">
        <f t="shared" si="7"/>
        <v>1104503.04</v>
      </c>
      <c r="V18" s="13">
        <f t="shared" si="8"/>
        <v>0.295</v>
      </c>
      <c r="W18" s="34">
        <f t="shared" si="9"/>
        <v>-0.005</v>
      </c>
      <c r="X18" s="4">
        <f>IF(T18="S", B18*(1+'Input Fee and Elasticity Inputs'!$B$9), IF(T18="A", B18*(1+'Input Fee and Elasticity Inputs'!$B$10), IF(T18="B", B18*(1+'Input Fee and Elasticity Inputs'!$B$11), B18*(1+'Input Fee and Elasticity Inputs'!$B$12))))</f>
        <v>187492.8</v>
      </c>
      <c r="Y18" s="33">
        <f t="shared" si="10"/>
        <v>6.372</v>
      </c>
      <c r="Z18" s="33">
        <f t="shared" si="11"/>
        <v>1194704.122</v>
      </c>
      <c r="AA18" s="33">
        <f t="shared" si="12"/>
        <v>90201.0816</v>
      </c>
    </row>
    <row r="19">
      <c r="A19" s="3" t="s">
        <v>27</v>
      </c>
      <c r="B19" s="4">
        <v>165396.0</v>
      </c>
      <c r="C19" s="5">
        <v>143.0</v>
      </c>
      <c r="D19" s="5">
        <v>318.0</v>
      </c>
      <c r="E19" s="6">
        <v>0.56</v>
      </c>
      <c r="F19" s="7">
        <v>21.7</v>
      </c>
      <c r="G19" s="6">
        <v>0.3</v>
      </c>
      <c r="H19" s="8">
        <v>0.0512</v>
      </c>
      <c r="I19" s="8">
        <v>0.024804924635999998</v>
      </c>
      <c r="J19" s="9">
        <v>17.0</v>
      </c>
      <c r="K19" s="29" t="str">
        <f t="shared" si="1"/>
        <v>Enterprise</v>
      </c>
      <c r="L19" s="30">
        <f t="shared" si="2"/>
        <v>6.51</v>
      </c>
      <c r="M19" s="31">
        <f>PERCENTRANK(B$2:B$201,B19)*'Input Resturant Brands Scoring '!$B$3</f>
        <v>32.025</v>
      </c>
      <c r="N19" s="32">
        <f>(1-PERCENTRANK(J$2:J$201,J19))*'Input Resturant Brands Scoring '!$B$5</f>
        <v>4.608</v>
      </c>
      <c r="O19" s="31">
        <f>(1-PERCENTRANK(I$2:I$201,I19))*'Input Resturant Brands Scoring '!$B$6</f>
        <v>2.532</v>
      </c>
      <c r="P19" s="31">
        <f t="shared" si="3"/>
        <v>7.14</v>
      </c>
      <c r="Q19" s="31">
        <f>PERCENTRANK(L$2:L$201,L19)*'Input Resturant Brands Scoring '!$B$7</f>
        <v>26.04</v>
      </c>
      <c r="R19" s="31">
        <f t="shared" si="4"/>
        <v>65.205</v>
      </c>
      <c r="S19" s="12">
        <f t="shared" si="5"/>
        <v>34</v>
      </c>
      <c r="T19" s="12" t="str">
        <f t="shared" si="13"/>
        <v>A</v>
      </c>
      <c r="U19" s="33">
        <f t="shared" si="7"/>
        <v>1076727.96</v>
      </c>
      <c r="V19" s="13">
        <f t="shared" si="8"/>
        <v>0.295</v>
      </c>
      <c r="W19" s="34">
        <f t="shared" si="9"/>
        <v>-0.005</v>
      </c>
      <c r="X19" s="4">
        <f>IF(T19="S", B19*(1+'Input Fee and Elasticity Inputs'!$B$9), IF(T19="A", B19*(1+'Input Fee and Elasticity Inputs'!$B$10), IF(T19="B", B19*(1+'Input Fee and Elasticity Inputs'!$B$11), B19*(1+'Input Fee and Elasticity Inputs'!$B$12))))</f>
        <v>181935.6</v>
      </c>
      <c r="Y19" s="33">
        <f t="shared" si="10"/>
        <v>6.4015</v>
      </c>
      <c r="Z19" s="33">
        <f t="shared" si="11"/>
        <v>1164660.743</v>
      </c>
      <c r="AA19" s="33">
        <f t="shared" si="12"/>
        <v>87932.7834</v>
      </c>
    </row>
    <row r="20">
      <c r="A20" s="3" t="s">
        <v>28</v>
      </c>
      <c r="B20" s="4">
        <v>161568.0</v>
      </c>
      <c r="C20" s="5">
        <v>90.0</v>
      </c>
      <c r="D20" s="5">
        <v>126.0</v>
      </c>
      <c r="E20" s="6">
        <v>0.35</v>
      </c>
      <c r="F20" s="7">
        <v>22.1</v>
      </c>
      <c r="G20" s="6">
        <v>0.23</v>
      </c>
      <c r="H20" s="8">
        <v>0.0864</v>
      </c>
      <c r="I20" s="8">
        <v>0.023886064002</v>
      </c>
      <c r="J20" s="9">
        <v>5.0</v>
      </c>
      <c r="K20" s="29" t="str">
        <f t="shared" si="1"/>
        <v>Enterprise</v>
      </c>
      <c r="L20" s="30">
        <f t="shared" si="2"/>
        <v>5.083</v>
      </c>
      <c r="M20" s="31">
        <f>PERCENTRANK(B$2:B$201,B20)*'Input Resturant Brands Scoring '!$B$3</f>
        <v>31.85</v>
      </c>
      <c r="N20" s="32">
        <f>(1-PERCENTRANK(J$2:J$201,J20))*'Input Resturant Brands Scoring '!$B$5</f>
        <v>15.462</v>
      </c>
      <c r="O20" s="31">
        <f>(1-PERCENTRANK(I$2:I$201,I20))*'Input Resturant Brands Scoring '!$B$6</f>
        <v>3.072</v>
      </c>
      <c r="P20" s="31">
        <f t="shared" si="3"/>
        <v>18.534</v>
      </c>
      <c r="Q20" s="31">
        <f>PERCENTRANK(L$2:L$201,L20)*'Input Resturant Brands Scoring '!$B$7</f>
        <v>13.37</v>
      </c>
      <c r="R20" s="31">
        <f t="shared" si="4"/>
        <v>63.754</v>
      </c>
      <c r="S20" s="12">
        <f t="shared" si="5"/>
        <v>40</v>
      </c>
      <c r="T20" s="12" t="str">
        <f t="shared" si="13"/>
        <v>A</v>
      </c>
      <c r="U20" s="33">
        <f t="shared" si="7"/>
        <v>821250.144</v>
      </c>
      <c r="V20" s="13">
        <f t="shared" si="8"/>
        <v>0.225</v>
      </c>
      <c r="W20" s="34">
        <f t="shared" si="9"/>
        <v>-0.005</v>
      </c>
      <c r="X20" s="4">
        <f>IF(T20="S", B20*(1+'Input Fee and Elasticity Inputs'!$B$9), IF(T20="A", B20*(1+'Input Fee and Elasticity Inputs'!$B$10), IF(T20="B", B20*(1+'Input Fee and Elasticity Inputs'!$B$11), B20*(1+'Input Fee and Elasticity Inputs'!$B$12))))</f>
        <v>177724.8</v>
      </c>
      <c r="Y20" s="33">
        <f t="shared" si="10"/>
        <v>4.9725</v>
      </c>
      <c r="Z20" s="33">
        <f t="shared" si="11"/>
        <v>883736.568</v>
      </c>
      <c r="AA20" s="33">
        <f t="shared" si="12"/>
        <v>62486.424</v>
      </c>
    </row>
    <row r="21">
      <c r="A21" s="3" t="s">
        <v>29</v>
      </c>
      <c r="B21" s="4">
        <v>155220.0</v>
      </c>
      <c r="C21" s="5">
        <v>40.0</v>
      </c>
      <c r="D21" s="5">
        <v>80.0</v>
      </c>
      <c r="E21" s="6">
        <v>0.95</v>
      </c>
      <c r="F21" s="7">
        <v>17.9</v>
      </c>
      <c r="G21" s="6">
        <v>0.26</v>
      </c>
      <c r="H21" s="8">
        <v>0.0312</v>
      </c>
      <c r="I21" s="8">
        <v>0.022966624692</v>
      </c>
      <c r="J21" s="9">
        <v>6.0</v>
      </c>
      <c r="K21" s="29" t="str">
        <f t="shared" si="1"/>
        <v>Enterprise</v>
      </c>
      <c r="L21" s="30">
        <f t="shared" si="2"/>
        <v>4.654</v>
      </c>
      <c r="M21" s="31">
        <f>PERCENTRANK(B$2:B$201,B21)*'Input Resturant Brands Scoring '!$B$3</f>
        <v>31.675</v>
      </c>
      <c r="N21" s="32">
        <f>(1-PERCENTRANK(J$2:J$201,J21))*'Input Resturant Brands Scoring '!$B$5</f>
        <v>14.022</v>
      </c>
      <c r="O21" s="31">
        <f>(1-PERCENTRANK(I$2:I$201,I21))*'Input Resturant Brands Scoring '!$B$6</f>
        <v>3.864</v>
      </c>
      <c r="P21" s="31">
        <f t="shared" si="3"/>
        <v>17.886</v>
      </c>
      <c r="Q21" s="31">
        <f>PERCENTRANK(L$2:L$201,L21)*'Input Resturant Brands Scoring '!$B$7</f>
        <v>9.485</v>
      </c>
      <c r="R21" s="31">
        <f t="shared" si="4"/>
        <v>59.046</v>
      </c>
      <c r="S21" s="12">
        <f t="shared" si="5"/>
        <v>55</v>
      </c>
      <c r="T21" s="12" t="str">
        <f t="shared" si="13"/>
        <v>B</v>
      </c>
      <c r="U21" s="33">
        <f t="shared" si="7"/>
        <v>722393.88</v>
      </c>
      <c r="V21" s="13">
        <f t="shared" si="8"/>
        <v>0.28</v>
      </c>
      <c r="W21" s="34">
        <f t="shared" si="9"/>
        <v>0.02</v>
      </c>
      <c r="X21" s="4">
        <f>IF(T21="S", B21*(1+'Input Fee and Elasticity Inputs'!$B$9), IF(T21="A", B21*(1+'Input Fee and Elasticity Inputs'!$B$10), IF(T21="B", B21*(1+'Input Fee and Elasticity Inputs'!$B$11), B21*(1+'Input Fee and Elasticity Inputs'!$B$12))))</f>
        <v>147459</v>
      </c>
      <c r="Y21" s="33">
        <f t="shared" si="10"/>
        <v>5.012</v>
      </c>
      <c r="Z21" s="33">
        <f t="shared" si="11"/>
        <v>739064.508</v>
      </c>
      <c r="AA21" s="33">
        <f t="shared" si="12"/>
        <v>16670.628</v>
      </c>
    </row>
    <row r="22">
      <c r="A22" s="3" t="s">
        <v>30</v>
      </c>
      <c r="B22" s="4">
        <v>149760.0</v>
      </c>
      <c r="C22" s="5">
        <v>37.0</v>
      </c>
      <c r="D22" s="5">
        <v>58.0</v>
      </c>
      <c r="E22" s="6">
        <v>0.28</v>
      </c>
      <c r="F22" s="7">
        <v>22.0</v>
      </c>
      <c r="G22" s="6">
        <v>0.3</v>
      </c>
      <c r="H22" s="8">
        <v>0.0836</v>
      </c>
      <c r="I22" s="8">
        <v>0.021695328684</v>
      </c>
      <c r="J22" s="9">
        <v>9.0</v>
      </c>
      <c r="K22" s="29" t="str">
        <f t="shared" si="1"/>
        <v>Enterprise</v>
      </c>
      <c r="L22" s="30">
        <f t="shared" si="2"/>
        <v>6.6</v>
      </c>
      <c r="M22" s="31">
        <f>PERCENTRANK(B$2:B$201,B22)*'Input Resturant Brands Scoring '!$B$3</f>
        <v>31.465</v>
      </c>
      <c r="N22" s="32">
        <f>(1-PERCENTRANK(J$2:J$201,J22))*'Input Resturant Brands Scoring '!$B$5</f>
        <v>10.044</v>
      </c>
      <c r="O22" s="31">
        <f>(1-PERCENTRANK(I$2:I$201,I22))*'Input Resturant Brands Scoring '!$B$6</f>
        <v>4.584</v>
      </c>
      <c r="P22" s="31">
        <f t="shared" si="3"/>
        <v>14.628</v>
      </c>
      <c r="Q22" s="31">
        <f>PERCENTRANK(L$2:L$201,L22)*'Input Resturant Brands Scoring '!$B$7</f>
        <v>26.39</v>
      </c>
      <c r="R22" s="31">
        <f t="shared" si="4"/>
        <v>72.483</v>
      </c>
      <c r="S22" s="12">
        <f t="shared" si="5"/>
        <v>12</v>
      </c>
      <c r="T22" s="12" t="str">
        <f t="shared" si="13"/>
        <v>A</v>
      </c>
      <c r="U22" s="33">
        <f t="shared" si="7"/>
        <v>988416</v>
      </c>
      <c r="V22" s="13">
        <f t="shared" si="8"/>
        <v>0.295</v>
      </c>
      <c r="W22" s="34">
        <f t="shared" si="9"/>
        <v>-0.005</v>
      </c>
      <c r="X22" s="4">
        <f>IF(T22="S", B22*(1+'Input Fee and Elasticity Inputs'!$B$9), IF(T22="A", B22*(1+'Input Fee and Elasticity Inputs'!$B$10), IF(T22="B", B22*(1+'Input Fee and Elasticity Inputs'!$B$11), B22*(1+'Input Fee and Elasticity Inputs'!$B$12))))</f>
        <v>164736</v>
      </c>
      <c r="Y22" s="33">
        <f t="shared" si="10"/>
        <v>6.49</v>
      </c>
      <c r="Z22" s="33">
        <f t="shared" si="11"/>
        <v>1069136.64</v>
      </c>
      <c r="AA22" s="33">
        <f t="shared" si="12"/>
        <v>80720.64</v>
      </c>
    </row>
    <row r="23">
      <c r="A23" s="3" t="s">
        <v>31</v>
      </c>
      <c r="B23" s="4">
        <v>148800.0</v>
      </c>
      <c r="C23" s="5">
        <v>190.0</v>
      </c>
      <c r="D23" s="5">
        <v>1188.0</v>
      </c>
      <c r="E23" s="6">
        <v>0.4</v>
      </c>
      <c r="F23" s="7">
        <v>19.8</v>
      </c>
      <c r="G23" s="6">
        <v>0.26</v>
      </c>
      <c r="H23" s="8">
        <v>0.0456</v>
      </c>
      <c r="I23" s="8">
        <v>0.022888125528</v>
      </c>
      <c r="J23" s="9">
        <v>8.0</v>
      </c>
      <c r="K23" s="29" t="str">
        <f t="shared" si="1"/>
        <v>Enterprise</v>
      </c>
      <c r="L23" s="30">
        <f t="shared" si="2"/>
        <v>5.148</v>
      </c>
      <c r="M23" s="31">
        <f>PERCENTRANK(B$2:B$201,B23)*'Input Resturant Brands Scoring '!$B$3</f>
        <v>31.29</v>
      </c>
      <c r="N23" s="32">
        <f>(1-PERCENTRANK(J$2:J$201,J23))*'Input Resturant Brands Scoring '!$B$5</f>
        <v>11.574</v>
      </c>
      <c r="O23" s="31">
        <f>(1-PERCENTRANK(I$2:I$201,I23))*'Input Resturant Brands Scoring '!$B$6</f>
        <v>3.924</v>
      </c>
      <c r="P23" s="31">
        <f t="shared" si="3"/>
        <v>15.498</v>
      </c>
      <c r="Q23" s="31">
        <f>PERCENTRANK(L$2:L$201,L23)*'Input Resturant Brands Scoring '!$B$7</f>
        <v>14.595</v>
      </c>
      <c r="R23" s="31">
        <f t="shared" si="4"/>
        <v>61.383</v>
      </c>
      <c r="S23" s="12">
        <f t="shared" si="5"/>
        <v>50</v>
      </c>
      <c r="T23" s="12" t="str">
        <f t="shared" si="13"/>
        <v>A</v>
      </c>
      <c r="U23" s="33">
        <f t="shared" si="7"/>
        <v>766022.4</v>
      </c>
      <c r="V23" s="13">
        <f t="shared" si="8"/>
        <v>0.255</v>
      </c>
      <c r="W23" s="34">
        <f t="shared" si="9"/>
        <v>-0.005</v>
      </c>
      <c r="X23" s="4">
        <f>IF(T23="S", B23*(1+'Input Fee and Elasticity Inputs'!$B$9), IF(T23="A", B23*(1+'Input Fee and Elasticity Inputs'!$B$10), IF(T23="B", B23*(1+'Input Fee and Elasticity Inputs'!$B$11), B23*(1+'Input Fee and Elasticity Inputs'!$B$12))))</f>
        <v>163680</v>
      </c>
      <c r="Y23" s="33">
        <f t="shared" si="10"/>
        <v>5.049</v>
      </c>
      <c r="Z23" s="33">
        <f t="shared" si="11"/>
        <v>826420.32</v>
      </c>
      <c r="AA23" s="33">
        <f t="shared" si="12"/>
        <v>60397.92</v>
      </c>
    </row>
    <row r="24">
      <c r="A24" s="3" t="s">
        <v>32</v>
      </c>
      <c r="B24" s="4">
        <v>145392.0</v>
      </c>
      <c r="C24" s="5">
        <v>27.0</v>
      </c>
      <c r="D24" s="5">
        <v>34.0</v>
      </c>
      <c r="E24" s="6">
        <v>0.34</v>
      </c>
      <c r="F24" s="7">
        <v>26.4</v>
      </c>
      <c r="G24" s="6">
        <v>0.26</v>
      </c>
      <c r="H24" s="8">
        <v>0.0848</v>
      </c>
      <c r="I24" s="8">
        <v>0.023045459118</v>
      </c>
      <c r="J24" s="9">
        <v>9.0</v>
      </c>
      <c r="K24" s="29" t="str">
        <f t="shared" si="1"/>
        <v>Enterprise</v>
      </c>
      <c r="L24" s="30">
        <f t="shared" si="2"/>
        <v>6.864</v>
      </c>
      <c r="M24" s="31">
        <f>PERCENTRANK(B$2:B$201,B24)*'Input Resturant Brands Scoring '!$B$3</f>
        <v>31.115</v>
      </c>
      <c r="N24" s="32">
        <f>(1-PERCENTRANK(J$2:J$201,J24))*'Input Resturant Brands Scoring '!$B$5</f>
        <v>10.044</v>
      </c>
      <c r="O24" s="31">
        <f>(1-PERCENTRANK(I$2:I$201,I24))*'Input Resturant Brands Scoring '!$B$6</f>
        <v>3.804</v>
      </c>
      <c r="P24" s="31">
        <f t="shared" si="3"/>
        <v>13.848</v>
      </c>
      <c r="Q24" s="31">
        <f>PERCENTRANK(L$2:L$201,L24)*'Input Resturant Brands Scoring '!$B$7</f>
        <v>28.315</v>
      </c>
      <c r="R24" s="31">
        <f t="shared" si="4"/>
        <v>73.278</v>
      </c>
      <c r="S24" s="12">
        <f t="shared" si="5"/>
        <v>10</v>
      </c>
      <c r="T24" s="12" t="str">
        <f t="shared" si="13"/>
        <v>S</v>
      </c>
      <c r="U24" s="33">
        <f t="shared" si="7"/>
        <v>997970.688</v>
      </c>
      <c r="V24" s="13">
        <f t="shared" si="8"/>
        <v>0.24</v>
      </c>
      <c r="W24" s="34">
        <f t="shared" si="9"/>
        <v>-0.02</v>
      </c>
      <c r="X24" s="4">
        <f>IF(T24="S", B24*(1+'Input Fee and Elasticity Inputs'!$B$9), IF(T24="A", B24*(1+'Input Fee and Elasticity Inputs'!$B$10), IF(T24="B", B24*(1+'Input Fee and Elasticity Inputs'!$B$11), B24*(1+'Input Fee and Elasticity Inputs'!$B$12))))</f>
        <v>174470.4</v>
      </c>
      <c r="Y24" s="33">
        <f t="shared" si="10"/>
        <v>6.336</v>
      </c>
      <c r="Z24" s="33">
        <f t="shared" si="11"/>
        <v>1105444.454</v>
      </c>
      <c r="AA24" s="33">
        <f t="shared" si="12"/>
        <v>107473.7664</v>
      </c>
    </row>
    <row r="25">
      <c r="A25" s="3" t="s">
        <v>33</v>
      </c>
      <c r="B25" s="4">
        <v>138528.0</v>
      </c>
      <c r="C25" s="5">
        <v>27.0</v>
      </c>
      <c r="D25" s="5">
        <v>38.0</v>
      </c>
      <c r="E25" s="6">
        <v>0.47</v>
      </c>
      <c r="F25" s="7">
        <v>16.2</v>
      </c>
      <c r="G25" s="6">
        <v>0.22</v>
      </c>
      <c r="H25" s="8">
        <v>0.0832</v>
      </c>
      <c r="I25" s="8">
        <v>0.022515171078</v>
      </c>
      <c r="J25" s="9">
        <v>5.0</v>
      </c>
      <c r="K25" s="29" t="str">
        <f t="shared" si="1"/>
        <v>Enterprise</v>
      </c>
      <c r="L25" s="30">
        <f t="shared" si="2"/>
        <v>3.564</v>
      </c>
      <c r="M25" s="31">
        <f>PERCENTRANK(B$2:B$201,B25)*'Input Resturant Brands Scoring '!$B$3</f>
        <v>30.94</v>
      </c>
      <c r="N25" s="32">
        <f>(1-PERCENTRANK(J$2:J$201,J25))*'Input Resturant Brands Scoring '!$B$5</f>
        <v>15.462</v>
      </c>
      <c r="O25" s="31">
        <f>(1-PERCENTRANK(I$2:I$201,I25))*'Input Resturant Brands Scoring '!$B$6</f>
        <v>4.104</v>
      </c>
      <c r="P25" s="31">
        <f t="shared" si="3"/>
        <v>19.566</v>
      </c>
      <c r="Q25" s="31">
        <f>PERCENTRANK(L$2:L$201,L25)*'Input Resturant Brands Scoring '!$B$7</f>
        <v>1.575</v>
      </c>
      <c r="R25" s="31">
        <f t="shared" si="4"/>
        <v>52.081</v>
      </c>
      <c r="S25" s="12">
        <f t="shared" si="5"/>
        <v>95</v>
      </c>
      <c r="T25" s="12" t="str">
        <f t="shared" si="13"/>
        <v>B</v>
      </c>
      <c r="U25" s="33">
        <f t="shared" si="7"/>
        <v>493713.792</v>
      </c>
      <c r="V25" s="13">
        <f t="shared" si="8"/>
        <v>0.24</v>
      </c>
      <c r="W25" s="34">
        <f t="shared" si="9"/>
        <v>0.02</v>
      </c>
      <c r="X25" s="4">
        <f>IF(T25="S", B25*(1+'Input Fee and Elasticity Inputs'!$B$9), IF(T25="A", B25*(1+'Input Fee and Elasticity Inputs'!$B$10), IF(T25="B", B25*(1+'Input Fee and Elasticity Inputs'!$B$11), B25*(1+'Input Fee and Elasticity Inputs'!$B$12))))</f>
        <v>131601.6</v>
      </c>
      <c r="Y25" s="33">
        <f t="shared" si="10"/>
        <v>3.888</v>
      </c>
      <c r="Z25" s="33">
        <f t="shared" si="11"/>
        <v>511667.0208</v>
      </c>
      <c r="AA25" s="33">
        <f t="shared" si="12"/>
        <v>17953.2288</v>
      </c>
    </row>
    <row r="26">
      <c r="A26" s="3" t="s">
        <v>34</v>
      </c>
      <c r="B26" s="4">
        <v>134400.0</v>
      </c>
      <c r="C26" s="5">
        <v>19.0</v>
      </c>
      <c r="D26" s="5">
        <v>51.0</v>
      </c>
      <c r="E26" s="6">
        <v>0.59</v>
      </c>
      <c r="F26" s="7">
        <v>18.0</v>
      </c>
      <c r="G26" s="6">
        <v>0.3</v>
      </c>
      <c r="H26" s="8">
        <v>0.086</v>
      </c>
      <c r="I26" s="8">
        <v>0.032553005784</v>
      </c>
      <c r="J26" s="9">
        <v>55.0</v>
      </c>
      <c r="K26" s="29" t="str">
        <f t="shared" si="1"/>
        <v>SMB</v>
      </c>
      <c r="L26" s="30">
        <f t="shared" si="2"/>
        <v>5.4</v>
      </c>
      <c r="M26" s="31">
        <f>PERCENTRANK(B$2:B$201,B26)*'Input Resturant Brands Scoring '!$B$3</f>
        <v>30.765</v>
      </c>
      <c r="N26" s="32">
        <f>(1-PERCENTRANK(J$2:J$201,J26))*'Input Resturant Brands Scoring '!$B$5</f>
        <v>0.09</v>
      </c>
      <c r="O26" s="31">
        <f>(1-PERCENTRANK(I$2:I$201,I26))*'Input Resturant Brands Scoring '!$B$6</f>
        <v>0.3</v>
      </c>
      <c r="P26" s="31">
        <f t="shared" si="3"/>
        <v>0.39</v>
      </c>
      <c r="Q26" s="31">
        <f>PERCENTRANK(L$2:L$201,L26)*'Input Resturant Brands Scoring '!$B$7</f>
        <v>17.045</v>
      </c>
      <c r="R26" s="31">
        <f t="shared" si="4"/>
        <v>48.2</v>
      </c>
      <c r="S26" s="12">
        <f t="shared" si="5"/>
        <v>114</v>
      </c>
      <c r="T26" s="12" t="str">
        <f t="shared" si="13"/>
        <v>B</v>
      </c>
      <c r="U26" s="33">
        <f t="shared" si="7"/>
        <v>725760</v>
      </c>
      <c r="V26" s="13">
        <f t="shared" si="8"/>
        <v>0.3</v>
      </c>
      <c r="W26" s="34">
        <f t="shared" si="9"/>
        <v>0</v>
      </c>
      <c r="X26" s="4">
        <f>IF(T26="S", B26*(1+'Input Fee and Elasticity Inputs'!$B$9), IF(T26="A", B26*(1+'Input Fee and Elasticity Inputs'!$B$10), IF(T26="B", B26*(1+'Input Fee and Elasticity Inputs'!$B$11), B26*(1+'Input Fee and Elasticity Inputs'!$B$12))))</f>
        <v>127680</v>
      </c>
      <c r="Y26" s="33">
        <f t="shared" si="10"/>
        <v>5.4</v>
      </c>
      <c r="Z26" s="33">
        <f t="shared" si="11"/>
        <v>689472</v>
      </c>
      <c r="AA26" s="33">
        <f t="shared" si="12"/>
        <v>-36288</v>
      </c>
    </row>
    <row r="27">
      <c r="A27" s="3" t="s">
        <v>35</v>
      </c>
      <c r="B27" s="4">
        <v>132432.0</v>
      </c>
      <c r="C27" s="5">
        <v>33.0</v>
      </c>
      <c r="D27" s="5">
        <v>79.0</v>
      </c>
      <c r="E27" s="6">
        <v>0.76</v>
      </c>
      <c r="F27" s="7">
        <v>16.4</v>
      </c>
      <c r="G27" s="6">
        <v>0.24</v>
      </c>
      <c r="H27" s="8">
        <v>0.0908</v>
      </c>
      <c r="I27" s="8">
        <v>0.032513974662</v>
      </c>
      <c r="J27" s="9">
        <v>3.0</v>
      </c>
      <c r="K27" s="29" t="str">
        <f t="shared" si="1"/>
        <v>Enterprise</v>
      </c>
      <c r="L27" s="30">
        <f t="shared" si="2"/>
        <v>3.936</v>
      </c>
      <c r="M27" s="31">
        <f>PERCENTRANK(B$2:B$201,B27)*'Input Resturant Brands Scoring '!$B$3</f>
        <v>30.59</v>
      </c>
      <c r="N27" s="32">
        <f>(1-PERCENTRANK(J$2:J$201,J27))*'Input Resturant Brands Scoring '!$B$5</f>
        <v>18</v>
      </c>
      <c r="O27" s="31">
        <f>(1-PERCENTRANK(I$2:I$201,I27))*'Input Resturant Brands Scoring '!$B$6</f>
        <v>0.36</v>
      </c>
      <c r="P27" s="31">
        <f t="shared" si="3"/>
        <v>18.36</v>
      </c>
      <c r="Q27" s="31">
        <f>PERCENTRANK(L$2:L$201,L27)*'Input Resturant Brands Scoring '!$B$7</f>
        <v>3.535</v>
      </c>
      <c r="R27" s="31">
        <f t="shared" si="4"/>
        <v>52.485</v>
      </c>
      <c r="S27" s="12">
        <f t="shared" si="5"/>
        <v>92</v>
      </c>
      <c r="T27" s="12" t="str">
        <f t="shared" si="13"/>
        <v>B</v>
      </c>
      <c r="U27" s="33">
        <f t="shared" si="7"/>
        <v>521252.352</v>
      </c>
      <c r="V27" s="13">
        <f t="shared" si="8"/>
        <v>0.26</v>
      </c>
      <c r="W27" s="34">
        <f t="shared" si="9"/>
        <v>0.02</v>
      </c>
      <c r="X27" s="4">
        <f>IF(T27="S", B27*(1+'Input Fee and Elasticity Inputs'!$B$9), IF(T27="A", B27*(1+'Input Fee and Elasticity Inputs'!$B$10), IF(T27="B", B27*(1+'Input Fee and Elasticity Inputs'!$B$11), B27*(1+'Input Fee and Elasticity Inputs'!$B$12))))</f>
        <v>125810.4</v>
      </c>
      <c r="Y27" s="33">
        <f t="shared" si="10"/>
        <v>4.264</v>
      </c>
      <c r="Z27" s="33">
        <f t="shared" si="11"/>
        <v>536455.5456</v>
      </c>
      <c r="AA27" s="33">
        <f t="shared" si="12"/>
        <v>15203.1936</v>
      </c>
    </row>
    <row r="28">
      <c r="A28" s="3" t="s">
        <v>36</v>
      </c>
      <c r="B28" s="4">
        <v>130464.0</v>
      </c>
      <c r="C28" s="5">
        <v>86.0</v>
      </c>
      <c r="D28" s="5">
        <v>112.0</v>
      </c>
      <c r="E28" s="6">
        <v>0.14</v>
      </c>
      <c r="F28" s="7">
        <v>19.1</v>
      </c>
      <c r="G28" s="6">
        <v>0.3</v>
      </c>
      <c r="H28" s="8">
        <v>0.0448</v>
      </c>
      <c r="I28" s="8">
        <v>0.033518878775999995</v>
      </c>
      <c r="J28" s="9">
        <v>14.0</v>
      </c>
      <c r="K28" s="29" t="str">
        <f t="shared" si="1"/>
        <v>Enterprise</v>
      </c>
      <c r="L28" s="30">
        <f t="shared" si="2"/>
        <v>5.73</v>
      </c>
      <c r="M28" s="31">
        <f>PERCENTRANK(B$2:B$201,B28)*'Input Resturant Brands Scoring '!$B$3</f>
        <v>30.415</v>
      </c>
      <c r="N28" s="32">
        <f>(1-PERCENTRANK(J$2:J$201,J28))*'Input Resturant Brands Scoring '!$B$5</f>
        <v>6.426</v>
      </c>
      <c r="O28" s="31">
        <f>(1-PERCENTRANK(I$2:I$201,I28))*'Input Resturant Brands Scoring '!$B$6</f>
        <v>0.18</v>
      </c>
      <c r="P28" s="31">
        <f t="shared" si="3"/>
        <v>6.606</v>
      </c>
      <c r="Q28" s="31">
        <f>PERCENTRANK(L$2:L$201,L28)*'Input Resturant Brands Scoring '!$B$7</f>
        <v>20.93</v>
      </c>
      <c r="R28" s="31">
        <f t="shared" si="4"/>
        <v>57.951</v>
      </c>
      <c r="S28" s="12">
        <f t="shared" si="5"/>
        <v>61</v>
      </c>
      <c r="T28" s="12" t="str">
        <f t="shared" si="13"/>
        <v>B</v>
      </c>
      <c r="U28" s="33">
        <f t="shared" si="7"/>
        <v>747558.72</v>
      </c>
      <c r="V28" s="13">
        <f t="shared" si="8"/>
        <v>0.3</v>
      </c>
      <c r="W28" s="34">
        <f t="shared" si="9"/>
        <v>0</v>
      </c>
      <c r="X28" s="4">
        <f>IF(T28="S", B28*(1+'Input Fee and Elasticity Inputs'!$B$9), IF(T28="A", B28*(1+'Input Fee and Elasticity Inputs'!$B$10), IF(T28="B", B28*(1+'Input Fee and Elasticity Inputs'!$B$11), B28*(1+'Input Fee and Elasticity Inputs'!$B$12))))</f>
        <v>123940.8</v>
      </c>
      <c r="Y28" s="33">
        <f t="shared" si="10"/>
        <v>5.73</v>
      </c>
      <c r="Z28" s="33">
        <f t="shared" si="11"/>
        <v>710180.784</v>
      </c>
      <c r="AA28" s="33">
        <f t="shared" si="12"/>
        <v>-37377.936</v>
      </c>
    </row>
    <row r="29">
      <c r="A29" s="3" t="s">
        <v>37</v>
      </c>
      <c r="B29" s="4">
        <v>128640.0</v>
      </c>
      <c r="C29" s="5">
        <v>19.0</v>
      </c>
      <c r="D29" s="5">
        <v>41.0</v>
      </c>
      <c r="E29" s="6">
        <v>0.16</v>
      </c>
      <c r="F29" s="7">
        <v>18.4</v>
      </c>
      <c r="G29" s="6">
        <v>0.24</v>
      </c>
      <c r="H29" s="8">
        <v>0.0552</v>
      </c>
      <c r="I29" s="8">
        <v>0.021084184061999998</v>
      </c>
      <c r="J29" s="9">
        <v>7.0</v>
      </c>
      <c r="K29" s="29" t="str">
        <f t="shared" si="1"/>
        <v>SMB</v>
      </c>
      <c r="L29" s="30">
        <f t="shared" si="2"/>
        <v>4.416</v>
      </c>
      <c r="M29" s="31">
        <f>PERCENTRANK(B$2:B$201,B29)*'Input Resturant Brands Scoring '!$B$3</f>
        <v>30.24</v>
      </c>
      <c r="N29" s="32">
        <f>(1-PERCENTRANK(J$2:J$201,J29))*'Input Resturant Brands Scoring '!$B$5</f>
        <v>12.204</v>
      </c>
      <c r="O29" s="31">
        <f>(1-PERCENTRANK(I$2:I$201,I29))*'Input Resturant Brands Scoring '!$B$6</f>
        <v>4.884</v>
      </c>
      <c r="P29" s="31">
        <f t="shared" si="3"/>
        <v>17.088</v>
      </c>
      <c r="Q29" s="31">
        <f>PERCENTRANK(L$2:L$201,L29)*'Input Resturant Brands Scoring '!$B$7</f>
        <v>7.21</v>
      </c>
      <c r="R29" s="31">
        <f t="shared" si="4"/>
        <v>54.538</v>
      </c>
      <c r="S29" s="12">
        <f t="shared" si="5"/>
        <v>80</v>
      </c>
      <c r="T29" s="12" t="str">
        <f t="shared" si="13"/>
        <v>B</v>
      </c>
      <c r="U29" s="33">
        <f t="shared" si="7"/>
        <v>568074.24</v>
      </c>
      <c r="V29" s="13">
        <f t="shared" si="8"/>
        <v>0.26</v>
      </c>
      <c r="W29" s="34">
        <f t="shared" si="9"/>
        <v>0.02</v>
      </c>
      <c r="X29" s="4">
        <f>IF(T29="S", B29*(1+'Input Fee and Elasticity Inputs'!$B$9), IF(T29="A", B29*(1+'Input Fee and Elasticity Inputs'!$B$10), IF(T29="B", B29*(1+'Input Fee and Elasticity Inputs'!$B$11), B29*(1+'Input Fee and Elasticity Inputs'!$B$12))))</f>
        <v>122208</v>
      </c>
      <c r="Y29" s="33">
        <f t="shared" si="10"/>
        <v>4.784</v>
      </c>
      <c r="Z29" s="33">
        <f t="shared" si="11"/>
        <v>584643.072</v>
      </c>
      <c r="AA29" s="33">
        <f t="shared" si="12"/>
        <v>16568.832</v>
      </c>
    </row>
    <row r="30">
      <c r="A30" s="3" t="s">
        <v>38</v>
      </c>
      <c r="B30" s="4">
        <v>123000.0</v>
      </c>
      <c r="C30" s="5">
        <v>22.0</v>
      </c>
      <c r="D30" s="5">
        <v>26.0</v>
      </c>
      <c r="E30" s="6">
        <v>0.8</v>
      </c>
      <c r="F30" s="7">
        <v>16.0</v>
      </c>
      <c r="G30" s="6">
        <v>0.3</v>
      </c>
      <c r="H30" s="8">
        <v>0.0864</v>
      </c>
      <c r="I30" s="8">
        <v>0.029173719629999997</v>
      </c>
      <c r="J30" s="9">
        <v>25.0</v>
      </c>
      <c r="K30" s="29" t="str">
        <f t="shared" si="1"/>
        <v>Enterprise</v>
      </c>
      <c r="L30" s="30">
        <f t="shared" si="2"/>
        <v>4.8</v>
      </c>
      <c r="M30" s="31">
        <f>PERCENTRANK(B$2:B$201,B30)*'Input Resturant Brands Scoring '!$B$3</f>
        <v>30.065</v>
      </c>
      <c r="N30" s="32">
        <f>(1-PERCENTRANK(J$2:J$201,J30))*'Input Resturant Brands Scoring '!$B$5</f>
        <v>2.358</v>
      </c>
      <c r="O30" s="31">
        <f>(1-PERCENTRANK(I$2:I$201,I30))*'Input Resturant Brands Scoring '!$B$6</f>
        <v>1.08</v>
      </c>
      <c r="P30" s="31">
        <f t="shared" si="3"/>
        <v>3.438</v>
      </c>
      <c r="Q30" s="31">
        <f>PERCENTRANK(L$2:L$201,L30)*'Input Resturant Brands Scoring '!$B$7</f>
        <v>10.745</v>
      </c>
      <c r="R30" s="31">
        <f t="shared" si="4"/>
        <v>44.248</v>
      </c>
      <c r="S30" s="12">
        <f t="shared" si="5"/>
        <v>135</v>
      </c>
      <c r="T30" s="12" t="str">
        <f t="shared" si="13"/>
        <v>B</v>
      </c>
      <c r="U30" s="33">
        <f t="shared" si="7"/>
        <v>590400</v>
      </c>
      <c r="V30" s="13">
        <f t="shared" si="8"/>
        <v>0.3</v>
      </c>
      <c r="W30" s="34">
        <f t="shared" si="9"/>
        <v>0</v>
      </c>
      <c r="X30" s="4">
        <f>IF(T30="S", B30*(1+'Input Fee and Elasticity Inputs'!$B$9), IF(T30="A", B30*(1+'Input Fee and Elasticity Inputs'!$B$10), IF(T30="B", B30*(1+'Input Fee and Elasticity Inputs'!$B$11), B30*(1+'Input Fee and Elasticity Inputs'!$B$12))))</f>
        <v>116850</v>
      </c>
      <c r="Y30" s="33">
        <f t="shared" si="10"/>
        <v>4.8</v>
      </c>
      <c r="Z30" s="33">
        <f t="shared" si="11"/>
        <v>560880</v>
      </c>
      <c r="AA30" s="33">
        <f t="shared" si="12"/>
        <v>-29520</v>
      </c>
    </row>
    <row r="31">
      <c r="A31" s="3" t="s">
        <v>39</v>
      </c>
      <c r="B31" s="4">
        <v>121680.0</v>
      </c>
      <c r="C31" s="5">
        <v>19.0</v>
      </c>
      <c r="D31" s="5">
        <v>33.0</v>
      </c>
      <c r="E31" s="6">
        <v>1.0</v>
      </c>
      <c r="F31" s="35">
        <v>19.1</v>
      </c>
      <c r="G31" s="6">
        <v>0.26</v>
      </c>
      <c r="H31" s="8">
        <v>0.0324</v>
      </c>
      <c r="I31" s="8">
        <v>0.031311133704</v>
      </c>
      <c r="J31" s="9">
        <v>9.0</v>
      </c>
      <c r="K31" s="29" t="str">
        <f t="shared" si="1"/>
        <v>SMB</v>
      </c>
      <c r="L31" s="30">
        <f t="shared" si="2"/>
        <v>4.966</v>
      </c>
      <c r="M31" s="31">
        <f>PERCENTRANK(B$2:B$201,B31)*'Input Resturant Brands Scoring '!$B$3</f>
        <v>29.89</v>
      </c>
      <c r="N31" s="32">
        <f>(1-PERCENTRANK(J$2:J$201,J31))*'Input Resturant Brands Scoring '!$B$5</f>
        <v>10.044</v>
      </c>
      <c r="O31" s="31">
        <f>(1-PERCENTRANK(I$2:I$201,I31))*'Input Resturant Brands Scoring '!$B$6</f>
        <v>0.54</v>
      </c>
      <c r="P31" s="31">
        <f t="shared" si="3"/>
        <v>10.584</v>
      </c>
      <c r="Q31" s="31">
        <f>PERCENTRANK(L$2:L$201,L31)*'Input Resturant Brands Scoring '!$B$7</f>
        <v>12.32</v>
      </c>
      <c r="R31" s="31">
        <f t="shared" si="4"/>
        <v>52.794</v>
      </c>
      <c r="S31" s="12">
        <f t="shared" si="5"/>
        <v>91</v>
      </c>
      <c r="T31" s="12" t="str">
        <f t="shared" si="13"/>
        <v>B</v>
      </c>
      <c r="U31" s="33">
        <f t="shared" si="7"/>
        <v>604262.88</v>
      </c>
      <c r="V31" s="13">
        <f t="shared" si="8"/>
        <v>0.28</v>
      </c>
      <c r="W31" s="34">
        <f t="shared" si="9"/>
        <v>0.02</v>
      </c>
      <c r="X31" s="4">
        <f>IF(T31="S", B31*(1+'Input Fee and Elasticity Inputs'!$B$9), IF(T31="A", B31*(1+'Input Fee and Elasticity Inputs'!$B$10), IF(T31="B", B31*(1+'Input Fee and Elasticity Inputs'!$B$11), B31*(1+'Input Fee and Elasticity Inputs'!$B$12))))</f>
        <v>115596</v>
      </c>
      <c r="Y31" s="33">
        <f t="shared" si="10"/>
        <v>5.348</v>
      </c>
      <c r="Z31" s="33">
        <f t="shared" si="11"/>
        <v>618207.408</v>
      </c>
      <c r="AA31" s="33">
        <f t="shared" si="12"/>
        <v>13944.528</v>
      </c>
    </row>
    <row r="32">
      <c r="A32" s="3" t="s">
        <v>40</v>
      </c>
      <c r="B32" s="4">
        <v>121128.0</v>
      </c>
      <c r="C32" s="5">
        <v>22.0</v>
      </c>
      <c r="D32" s="5">
        <v>84.0</v>
      </c>
      <c r="E32" s="6">
        <v>0.9</v>
      </c>
      <c r="F32" s="7">
        <v>16.1</v>
      </c>
      <c r="G32" s="6">
        <v>0.3</v>
      </c>
      <c r="H32" s="8">
        <v>0.1008</v>
      </c>
      <c r="I32" s="8">
        <v>0.029824533198</v>
      </c>
      <c r="J32" s="9">
        <v>11.0</v>
      </c>
      <c r="K32" s="29" t="str">
        <f t="shared" si="1"/>
        <v>Enterprise</v>
      </c>
      <c r="L32" s="30">
        <f t="shared" si="2"/>
        <v>4.83</v>
      </c>
      <c r="M32" s="31">
        <f>PERCENTRANK(B$2:B$201,B32)*'Input Resturant Brands Scoring '!$B$3</f>
        <v>29.715</v>
      </c>
      <c r="N32" s="32">
        <f>(1-PERCENTRANK(J$2:J$201,J32))*'Input Resturant Brands Scoring '!$B$5</f>
        <v>8.136</v>
      </c>
      <c r="O32" s="31">
        <f>(1-PERCENTRANK(I$2:I$201,I32))*'Input Resturant Brands Scoring '!$B$6</f>
        <v>0.84</v>
      </c>
      <c r="P32" s="31">
        <f t="shared" si="3"/>
        <v>8.976</v>
      </c>
      <c r="Q32" s="31">
        <f>PERCENTRANK(L$2:L$201,L32)*'Input Resturant Brands Scoring '!$B$7</f>
        <v>11.445</v>
      </c>
      <c r="R32" s="31">
        <f t="shared" si="4"/>
        <v>50.136</v>
      </c>
      <c r="S32" s="12">
        <f t="shared" si="5"/>
        <v>105</v>
      </c>
      <c r="T32" s="12" t="str">
        <f t="shared" si="13"/>
        <v>B</v>
      </c>
      <c r="U32" s="33">
        <f t="shared" si="7"/>
        <v>585048.24</v>
      </c>
      <c r="V32" s="13">
        <f t="shared" si="8"/>
        <v>0.3</v>
      </c>
      <c r="W32" s="34">
        <f t="shared" si="9"/>
        <v>0</v>
      </c>
      <c r="X32" s="4">
        <f>IF(T32="S", B32*(1+'Input Fee and Elasticity Inputs'!$B$9), IF(T32="A", B32*(1+'Input Fee and Elasticity Inputs'!$B$10), IF(T32="B", B32*(1+'Input Fee and Elasticity Inputs'!$B$11), B32*(1+'Input Fee and Elasticity Inputs'!$B$12))))</f>
        <v>115071.6</v>
      </c>
      <c r="Y32" s="33">
        <f t="shared" si="10"/>
        <v>4.83</v>
      </c>
      <c r="Z32" s="33">
        <f t="shared" si="11"/>
        <v>555795.828</v>
      </c>
      <c r="AA32" s="33">
        <f t="shared" si="12"/>
        <v>-29252.412</v>
      </c>
    </row>
    <row r="33">
      <c r="A33" s="3" t="s">
        <v>41</v>
      </c>
      <c r="B33" s="4">
        <v>120960.0</v>
      </c>
      <c r="C33" s="5">
        <v>21.0</v>
      </c>
      <c r="D33" s="5">
        <v>24.0</v>
      </c>
      <c r="E33" s="6">
        <v>0.06</v>
      </c>
      <c r="F33" s="7">
        <v>19.7</v>
      </c>
      <c r="G33" s="6">
        <v>0.3</v>
      </c>
      <c r="H33" s="8">
        <v>0.072</v>
      </c>
      <c r="I33" s="8">
        <v>0.011183486538</v>
      </c>
      <c r="J33" s="9">
        <v>94.0</v>
      </c>
      <c r="K33" s="29" t="str">
        <f t="shared" si="1"/>
        <v>Enterprise</v>
      </c>
      <c r="L33" s="30">
        <f t="shared" si="2"/>
        <v>5.91</v>
      </c>
      <c r="M33" s="31">
        <f>PERCENTRANK(B$2:B$201,B33)*'Input Resturant Brands Scoring '!$B$3</f>
        <v>29.54</v>
      </c>
      <c r="N33" s="32">
        <f>(1-PERCENTRANK(J$2:J$201,J33))*'Input Resturant Brands Scoring '!$B$5</f>
        <v>0</v>
      </c>
      <c r="O33" s="31">
        <f>(1-PERCENTRANK(I$2:I$201,I33))*'Input Resturant Brands Scoring '!$B$6</f>
        <v>11.58</v>
      </c>
      <c r="P33" s="31">
        <f t="shared" si="3"/>
        <v>11.58</v>
      </c>
      <c r="Q33" s="31">
        <f>PERCENTRANK(L$2:L$201,L33)*'Input Resturant Brands Scoring '!$B$7</f>
        <v>22.155</v>
      </c>
      <c r="R33" s="31">
        <f t="shared" si="4"/>
        <v>63.275</v>
      </c>
      <c r="S33" s="12">
        <f t="shared" si="5"/>
        <v>45</v>
      </c>
      <c r="T33" s="12" t="str">
        <f t="shared" si="13"/>
        <v>A</v>
      </c>
      <c r="U33" s="33">
        <f t="shared" si="7"/>
        <v>714873.6</v>
      </c>
      <c r="V33" s="13">
        <f t="shared" si="8"/>
        <v>0.295</v>
      </c>
      <c r="W33" s="34">
        <f t="shared" si="9"/>
        <v>-0.005</v>
      </c>
      <c r="X33" s="4">
        <f>IF(T33="S", B33*(1+'Input Fee and Elasticity Inputs'!$B$9), IF(T33="A", B33*(1+'Input Fee and Elasticity Inputs'!$B$10), IF(T33="B", B33*(1+'Input Fee and Elasticity Inputs'!$B$11), B33*(1+'Input Fee and Elasticity Inputs'!$B$12))))</f>
        <v>133056</v>
      </c>
      <c r="Y33" s="33">
        <f t="shared" si="10"/>
        <v>5.8115</v>
      </c>
      <c r="Z33" s="33">
        <f t="shared" si="11"/>
        <v>773254.944</v>
      </c>
      <c r="AA33" s="33">
        <f t="shared" si="12"/>
        <v>58381.344</v>
      </c>
    </row>
    <row r="34">
      <c r="A34" s="3" t="s">
        <v>42</v>
      </c>
      <c r="B34" s="4">
        <v>120684.0</v>
      </c>
      <c r="C34" s="5">
        <v>198.0</v>
      </c>
      <c r="D34" s="5">
        <v>276.0</v>
      </c>
      <c r="E34" s="6">
        <v>0.2</v>
      </c>
      <c r="F34" s="7">
        <v>22.2</v>
      </c>
      <c r="G34" s="6">
        <v>0.28</v>
      </c>
      <c r="H34" s="8">
        <v>0.0748</v>
      </c>
      <c r="I34" s="8">
        <v>0.03031432218</v>
      </c>
      <c r="J34" s="9">
        <v>50.0</v>
      </c>
      <c r="K34" s="29" t="str">
        <f t="shared" si="1"/>
        <v>Enterprise</v>
      </c>
      <c r="L34" s="30">
        <f t="shared" si="2"/>
        <v>6.216</v>
      </c>
      <c r="M34" s="31">
        <f>PERCENTRANK(B$2:B$201,B34)*'Input Resturant Brands Scoring '!$B$3</f>
        <v>29.365</v>
      </c>
      <c r="N34" s="32">
        <f>(1-PERCENTRANK(J$2:J$201,J34))*'Input Resturant Brands Scoring '!$B$5</f>
        <v>0.18</v>
      </c>
      <c r="O34" s="31">
        <f>(1-PERCENTRANK(I$2:I$201,I34))*'Input Resturant Brands Scoring '!$B$6</f>
        <v>0.72</v>
      </c>
      <c r="P34" s="31">
        <f t="shared" si="3"/>
        <v>0.9</v>
      </c>
      <c r="Q34" s="31">
        <f>PERCENTRANK(L$2:L$201,L34)*'Input Resturant Brands Scoring '!$B$7</f>
        <v>24.43</v>
      </c>
      <c r="R34" s="31">
        <f t="shared" si="4"/>
        <v>54.695</v>
      </c>
      <c r="S34" s="12">
        <f t="shared" si="5"/>
        <v>77</v>
      </c>
      <c r="T34" s="12" t="str">
        <f t="shared" si="13"/>
        <v>B</v>
      </c>
      <c r="U34" s="33">
        <f t="shared" si="7"/>
        <v>750171.744</v>
      </c>
      <c r="V34" s="13">
        <f t="shared" si="8"/>
        <v>0.3</v>
      </c>
      <c r="W34" s="34">
        <f t="shared" si="9"/>
        <v>0.02</v>
      </c>
      <c r="X34" s="4">
        <f>IF(T34="S", B34*(1+'Input Fee and Elasticity Inputs'!$B$9), IF(T34="A", B34*(1+'Input Fee and Elasticity Inputs'!$B$10), IF(T34="B", B34*(1+'Input Fee and Elasticity Inputs'!$B$11), B34*(1+'Input Fee and Elasticity Inputs'!$B$12))))</f>
        <v>114649.8</v>
      </c>
      <c r="Y34" s="33">
        <f t="shared" si="10"/>
        <v>6.66</v>
      </c>
      <c r="Z34" s="33">
        <f t="shared" si="11"/>
        <v>763567.668</v>
      </c>
      <c r="AA34" s="33">
        <f t="shared" si="12"/>
        <v>13395.924</v>
      </c>
    </row>
    <row r="35">
      <c r="A35" s="3" t="s">
        <v>43</v>
      </c>
      <c r="B35" s="4">
        <v>116280.0</v>
      </c>
      <c r="C35" s="5">
        <v>24.0</v>
      </c>
      <c r="D35" s="5">
        <v>31.0</v>
      </c>
      <c r="E35" s="6">
        <v>0.01</v>
      </c>
      <c r="F35" s="7">
        <v>26.7</v>
      </c>
      <c r="G35" s="6">
        <v>0.25</v>
      </c>
      <c r="H35" s="8">
        <v>0.07</v>
      </c>
      <c r="I35" s="8">
        <v>0.011679280217999998</v>
      </c>
      <c r="J35" s="9">
        <v>11.0</v>
      </c>
      <c r="K35" s="29" t="str">
        <f t="shared" si="1"/>
        <v>Enterprise</v>
      </c>
      <c r="L35" s="30">
        <f t="shared" si="2"/>
        <v>6.675</v>
      </c>
      <c r="M35" s="31">
        <f>PERCENTRANK(B$2:B$201,B35)*'Input Resturant Brands Scoring '!$B$3</f>
        <v>29.19</v>
      </c>
      <c r="N35" s="32">
        <f>(1-PERCENTRANK(J$2:J$201,J35))*'Input Resturant Brands Scoring '!$B$5</f>
        <v>8.136</v>
      </c>
      <c r="O35" s="31">
        <f>(1-PERCENTRANK(I$2:I$201,I35))*'Input Resturant Brands Scoring '!$B$6</f>
        <v>11.4</v>
      </c>
      <c r="P35" s="31">
        <f t="shared" si="3"/>
        <v>19.536</v>
      </c>
      <c r="Q35" s="31">
        <f>PERCENTRANK(L$2:L$201,L35)*'Input Resturant Brands Scoring '!$B$7</f>
        <v>27.44</v>
      </c>
      <c r="R35" s="31">
        <f t="shared" si="4"/>
        <v>76.166</v>
      </c>
      <c r="S35" s="12">
        <f t="shared" si="5"/>
        <v>5</v>
      </c>
      <c r="T35" s="12" t="str">
        <f t="shared" si="13"/>
        <v>S</v>
      </c>
      <c r="U35" s="33">
        <f t="shared" si="7"/>
        <v>776169</v>
      </c>
      <c r="V35" s="13">
        <f t="shared" si="8"/>
        <v>0.23</v>
      </c>
      <c r="W35" s="34">
        <f t="shared" si="9"/>
        <v>-0.02</v>
      </c>
      <c r="X35" s="4">
        <f>IF(T35="S", B35*(1+'Input Fee and Elasticity Inputs'!$B$9), IF(T35="A", B35*(1+'Input Fee and Elasticity Inputs'!$B$10), IF(T35="B", B35*(1+'Input Fee and Elasticity Inputs'!$B$11), B35*(1+'Input Fee and Elasticity Inputs'!$B$12))))</f>
        <v>139536</v>
      </c>
      <c r="Y35" s="33">
        <f t="shared" si="10"/>
        <v>6.141</v>
      </c>
      <c r="Z35" s="33">
        <f t="shared" si="11"/>
        <v>856890.576</v>
      </c>
      <c r="AA35" s="33">
        <f t="shared" si="12"/>
        <v>80721.576</v>
      </c>
    </row>
    <row r="36">
      <c r="A36" s="3" t="s">
        <v>44</v>
      </c>
      <c r="B36" s="4">
        <v>112320.0</v>
      </c>
      <c r="C36" s="5">
        <v>30.0</v>
      </c>
      <c r="D36" s="5">
        <v>39.0</v>
      </c>
      <c r="E36" s="6">
        <v>0.31</v>
      </c>
      <c r="F36" s="7">
        <v>16.8</v>
      </c>
      <c r="G36" s="6">
        <v>0.24</v>
      </c>
      <c r="H36" s="8">
        <v>0.0624</v>
      </c>
      <c r="I36" s="8">
        <v>0.027053363556</v>
      </c>
      <c r="J36" s="9">
        <v>8.0</v>
      </c>
      <c r="K36" s="29" t="str">
        <f t="shared" si="1"/>
        <v>Enterprise</v>
      </c>
      <c r="L36" s="30">
        <f t="shared" si="2"/>
        <v>4.032</v>
      </c>
      <c r="M36" s="31">
        <f>PERCENTRANK(B$2:B$201,B36)*'Input Resturant Brands Scoring '!$B$3</f>
        <v>29.015</v>
      </c>
      <c r="N36" s="32">
        <f>(1-PERCENTRANK(J$2:J$201,J36))*'Input Resturant Brands Scoring '!$B$5</f>
        <v>11.574</v>
      </c>
      <c r="O36" s="31">
        <f>(1-PERCENTRANK(I$2:I$201,I36))*'Input Resturant Brands Scoring '!$B$6</f>
        <v>1.812</v>
      </c>
      <c r="P36" s="31">
        <f t="shared" si="3"/>
        <v>13.386</v>
      </c>
      <c r="Q36" s="31">
        <f>PERCENTRANK(L$2:L$201,L36)*'Input Resturant Brands Scoring '!$B$7</f>
        <v>3.885</v>
      </c>
      <c r="R36" s="31">
        <f t="shared" si="4"/>
        <v>46.286</v>
      </c>
      <c r="S36" s="12">
        <f t="shared" si="5"/>
        <v>125</v>
      </c>
      <c r="T36" s="12" t="str">
        <f t="shared" si="13"/>
        <v>B</v>
      </c>
      <c r="U36" s="33">
        <f t="shared" si="7"/>
        <v>452874.24</v>
      </c>
      <c r="V36" s="13">
        <f t="shared" si="8"/>
        <v>0.26</v>
      </c>
      <c r="W36" s="34">
        <f t="shared" si="9"/>
        <v>0.02</v>
      </c>
      <c r="X36" s="4">
        <f>IF(T36="S", B36*(1+'Input Fee and Elasticity Inputs'!$B$9), IF(T36="A", B36*(1+'Input Fee and Elasticity Inputs'!$B$10), IF(T36="B", B36*(1+'Input Fee and Elasticity Inputs'!$B$11), B36*(1+'Input Fee and Elasticity Inputs'!$B$12))))</f>
        <v>106704</v>
      </c>
      <c r="Y36" s="33">
        <f t="shared" si="10"/>
        <v>4.368</v>
      </c>
      <c r="Z36" s="33">
        <f t="shared" si="11"/>
        <v>466083.072</v>
      </c>
      <c r="AA36" s="33">
        <f t="shared" si="12"/>
        <v>13208.832</v>
      </c>
    </row>
    <row r="37">
      <c r="A37" s="3" t="s">
        <v>45</v>
      </c>
      <c r="B37" s="4">
        <v>109536.0</v>
      </c>
      <c r="C37" s="5">
        <v>27.0</v>
      </c>
      <c r="D37" s="5">
        <v>100.0</v>
      </c>
      <c r="E37" s="6">
        <v>0.14</v>
      </c>
      <c r="F37" s="7">
        <v>24.4</v>
      </c>
      <c r="G37" s="6">
        <v>0.3</v>
      </c>
      <c r="H37" s="8">
        <v>0.0528</v>
      </c>
      <c r="I37" s="8">
        <v>0.011488447794</v>
      </c>
      <c r="J37" s="9">
        <v>4.0</v>
      </c>
      <c r="K37" s="29" t="str">
        <f t="shared" si="1"/>
        <v>Enterprise</v>
      </c>
      <c r="L37" s="30">
        <f t="shared" si="2"/>
        <v>7.32</v>
      </c>
      <c r="M37" s="31">
        <f>PERCENTRANK(B$2:B$201,B37)*'Input Resturant Brands Scoring '!$B$3</f>
        <v>28.84</v>
      </c>
      <c r="N37" s="32">
        <f>(1-PERCENTRANK(J$2:J$201,J37))*'Input Resturant Brands Scoring '!$B$5</f>
        <v>17.1</v>
      </c>
      <c r="O37" s="31">
        <f>(1-PERCENTRANK(I$2:I$201,I37))*'Input Resturant Brands Scoring '!$B$6</f>
        <v>11.46</v>
      </c>
      <c r="P37" s="31">
        <f t="shared" si="3"/>
        <v>28.56</v>
      </c>
      <c r="Q37" s="31">
        <f>PERCENTRANK(L$2:L$201,L37)*'Input Resturant Brands Scoring '!$B$7</f>
        <v>30.24</v>
      </c>
      <c r="R37" s="31">
        <f t="shared" si="4"/>
        <v>87.64</v>
      </c>
      <c r="S37" s="12">
        <f t="shared" si="5"/>
        <v>1</v>
      </c>
      <c r="T37" s="12" t="str">
        <f t="shared" si="13"/>
        <v>S</v>
      </c>
      <c r="U37" s="33">
        <f t="shared" si="7"/>
        <v>801803.52</v>
      </c>
      <c r="V37" s="13">
        <f t="shared" si="8"/>
        <v>0.28</v>
      </c>
      <c r="W37" s="34">
        <f t="shared" si="9"/>
        <v>-0.02</v>
      </c>
      <c r="X37" s="4">
        <f>IF(T37="S", B37*(1+'Input Fee and Elasticity Inputs'!$B$9), IF(T37="A", B37*(1+'Input Fee and Elasticity Inputs'!$B$10), IF(T37="B", B37*(1+'Input Fee and Elasticity Inputs'!$B$11), B37*(1+'Input Fee and Elasticity Inputs'!$B$12))))</f>
        <v>131443.2</v>
      </c>
      <c r="Y37" s="33">
        <f t="shared" si="10"/>
        <v>6.832</v>
      </c>
      <c r="Z37" s="33">
        <f t="shared" si="11"/>
        <v>898019.9424</v>
      </c>
      <c r="AA37" s="33">
        <f t="shared" si="12"/>
        <v>96216.4224</v>
      </c>
    </row>
    <row r="38">
      <c r="A38" s="3" t="s">
        <v>46</v>
      </c>
      <c r="B38" s="4">
        <v>109020.0</v>
      </c>
      <c r="C38" s="5">
        <v>157.0</v>
      </c>
      <c r="D38" s="5">
        <v>219.0</v>
      </c>
      <c r="E38" s="6">
        <v>0.08</v>
      </c>
      <c r="F38" s="7">
        <v>15.4</v>
      </c>
      <c r="G38" s="6">
        <v>0.3</v>
      </c>
      <c r="H38" s="8">
        <v>0.042</v>
      </c>
      <c r="I38" s="8">
        <v>0.011844926532</v>
      </c>
      <c r="J38" s="9">
        <v>5.0</v>
      </c>
      <c r="K38" s="29" t="str">
        <f t="shared" si="1"/>
        <v>Enterprise</v>
      </c>
      <c r="L38" s="30">
        <f t="shared" si="2"/>
        <v>4.62</v>
      </c>
      <c r="M38" s="31">
        <f>PERCENTRANK(B$2:B$201,B38)*'Input Resturant Brands Scoring '!$B$3</f>
        <v>28.665</v>
      </c>
      <c r="N38" s="32">
        <f>(1-PERCENTRANK(J$2:J$201,J38))*'Input Resturant Brands Scoring '!$B$5</f>
        <v>15.462</v>
      </c>
      <c r="O38" s="31">
        <f>(1-PERCENTRANK(I$2:I$201,I38))*'Input Resturant Brands Scoring '!$B$6</f>
        <v>11.34</v>
      </c>
      <c r="P38" s="31">
        <f t="shared" si="3"/>
        <v>26.802</v>
      </c>
      <c r="Q38" s="31">
        <f>PERCENTRANK(L$2:L$201,L38)*'Input Resturant Brands Scoring '!$B$7</f>
        <v>8.96</v>
      </c>
      <c r="R38" s="31">
        <f t="shared" si="4"/>
        <v>64.427</v>
      </c>
      <c r="S38" s="12">
        <f t="shared" si="5"/>
        <v>37</v>
      </c>
      <c r="T38" s="12" t="str">
        <f t="shared" si="13"/>
        <v>A</v>
      </c>
      <c r="U38" s="33">
        <f t="shared" si="7"/>
        <v>503672.4</v>
      </c>
      <c r="V38" s="13">
        <f t="shared" si="8"/>
        <v>0.295</v>
      </c>
      <c r="W38" s="34">
        <f t="shared" si="9"/>
        <v>-0.005</v>
      </c>
      <c r="X38" s="4">
        <f>IF(T38="S", B38*(1+'Input Fee and Elasticity Inputs'!$B$9), IF(T38="A", B38*(1+'Input Fee and Elasticity Inputs'!$B$10), IF(T38="B", B38*(1+'Input Fee and Elasticity Inputs'!$B$11), B38*(1+'Input Fee and Elasticity Inputs'!$B$12))))</f>
        <v>119922</v>
      </c>
      <c r="Y38" s="33">
        <f t="shared" si="10"/>
        <v>4.543</v>
      </c>
      <c r="Z38" s="33">
        <f t="shared" si="11"/>
        <v>544805.646</v>
      </c>
      <c r="AA38" s="33">
        <f t="shared" si="12"/>
        <v>41133.246</v>
      </c>
    </row>
    <row r="39">
      <c r="A39" s="3" t="s">
        <v>47</v>
      </c>
      <c r="B39" s="4">
        <v>108192.0</v>
      </c>
      <c r="C39" s="5">
        <v>22.0</v>
      </c>
      <c r="D39" s="5">
        <v>42.0</v>
      </c>
      <c r="E39" s="6">
        <v>0.23</v>
      </c>
      <c r="F39" s="7">
        <v>17.9</v>
      </c>
      <c r="G39" s="6">
        <v>0.3</v>
      </c>
      <c r="H39" s="8">
        <v>0.0612</v>
      </c>
      <c r="I39" s="8">
        <v>0.019565217389999997</v>
      </c>
      <c r="J39" s="9">
        <v>4.0</v>
      </c>
      <c r="K39" s="29" t="str">
        <f t="shared" si="1"/>
        <v>Enterprise</v>
      </c>
      <c r="L39" s="30">
        <f t="shared" si="2"/>
        <v>5.37</v>
      </c>
      <c r="M39" s="31">
        <f>PERCENTRANK(B$2:B$201,B39)*'Input Resturant Brands Scoring '!$B$3</f>
        <v>28.49</v>
      </c>
      <c r="N39" s="32">
        <f>(1-PERCENTRANK(J$2:J$201,J39))*'Input Resturant Brands Scoring '!$B$5</f>
        <v>17.1</v>
      </c>
      <c r="O39" s="31">
        <f>(1-PERCENTRANK(I$2:I$201,I39))*'Input Resturant Brands Scoring '!$B$6</f>
        <v>5.604</v>
      </c>
      <c r="P39" s="31">
        <f t="shared" si="3"/>
        <v>22.704</v>
      </c>
      <c r="Q39" s="31">
        <f>PERCENTRANK(L$2:L$201,L39)*'Input Resturant Brands Scoring '!$B$7</f>
        <v>16.695</v>
      </c>
      <c r="R39" s="31">
        <f t="shared" si="4"/>
        <v>67.889</v>
      </c>
      <c r="S39" s="12">
        <f t="shared" si="5"/>
        <v>27</v>
      </c>
      <c r="T39" s="12" t="str">
        <f t="shared" si="13"/>
        <v>A</v>
      </c>
      <c r="U39" s="33">
        <f t="shared" si="7"/>
        <v>580991.04</v>
      </c>
      <c r="V39" s="13">
        <f t="shared" si="8"/>
        <v>0.295</v>
      </c>
      <c r="W39" s="34">
        <f t="shared" si="9"/>
        <v>-0.005</v>
      </c>
      <c r="X39" s="4">
        <f>IF(T39="S", B39*(1+'Input Fee and Elasticity Inputs'!$B$9), IF(T39="A", B39*(1+'Input Fee and Elasticity Inputs'!$B$10), IF(T39="B", B39*(1+'Input Fee and Elasticity Inputs'!$B$11), B39*(1+'Input Fee and Elasticity Inputs'!$B$12))))</f>
        <v>119011.2</v>
      </c>
      <c r="Y39" s="33">
        <f t="shared" si="10"/>
        <v>5.2805</v>
      </c>
      <c r="Z39" s="33">
        <f t="shared" si="11"/>
        <v>628438.6416</v>
      </c>
      <c r="AA39" s="33">
        <f t="shared" si="12"/>
        <v>47447.6016</v>
      </c>
    </row>
    <row r="40">
      <c r="A40" s="3" t="s">
        <v>48</v>
      </c>
      <c r="B40" s="4">
        <v>104832.0</v>
      </c>
      <c r="C40" s="5">
        <v>144.0</v>
      </c>
      <c r="D40" s="5">
        <v>203.0</v>
      </c>
      <c r="E40" s="6">
        <v>0.36</v>
      </c>
      <c r="F40" s="7">
        <v>16.0</v>
      </c>
      <c r="G40" s="6">
        <v>0.3</v>
      </c>
      <c r="H40" s="8">
        <v>0.0324</v>
      </c>
      <c r="I40" s="8">
        <v>0.029515631321999997</v>
      </c>
      <c r="J40" s="9">
        <v>6.0</v>
      </c>
      <c r="K40" s="29" t="str">
        <f t="shared" si="1"/>
        <v>Enterprise</v>
      </c>
      <c r="L40" s="30">
        <f t="shared" si="2"/>
        <v>4.8</v>
      </c>
      <c r="M40" s="31">
        <f>PERCENTRANK(B$2:B$201,B40)*'Input Resturant Brands Scoring '!$B$3</f>
        <v>28.315</v>
      </c>
      <c r="N40" s="32">
        <f>(1-PERCENTRANK(J$2:J$201,J40))*'Input Resturant Brands Scoring '!$B$5</f>
        <v>14.022</v>
      </c>
      <c r="O40" s="31">
        <f>(1-PERCENTRANK(I$2:I$201,I40))*'Input Resturant Brands Scoring '!$B$6</f>
        <v>0.96</v>
      </c>
      <c r="P40" s="31">
        <f t="shared" si="3"/>
        <v>14.982</v>
      </c>
      <c r="Q40" s="31">
        <f>PERCENTRANK(L$2:L$201,L40)*'Input Resturant Brands Scoring '!$B$7</f>
        <v>10.745</v>
      </c>
      <c r="R40" s="31">
        <f t="shared" si="4"/>
        <v>54.042</v>
      </c>
      <c r="S40" s="12">
        <f t="shared" si="5"/>
        <v>84</v>
      </c>
      <c r="T40" s="12" t="str">
        <f t="shared" si="13"/>
        <v>B</v>
      </c>
      <c r="U40" s="33">
        <f t="shared" si="7"/>
        <v>503193.6</v>
      </c>
      <c r="V40" s="13">
        <f t="shared" si="8"/>
        <v>0.3</v>
      </c>
      <c r="W40" s="34">
        <f t="shared" si="9"/>
        <v>0</v>
      </c>
      <c r="X40" s="4">
        <f>IF(T40="S", B40*(1+'Input Fee and Elasticity Inputs'!$B$9), IF(T40="A", B40*(1+'Input Fee and Elasticity Inputs'!$B$10), IF(T40="B", B40*(1+'Input Fee and Elasticity Inputs'!$B$11), B40*(1+'Input Fee and Elasticity Inputs'!$B$12))))</f>
        <v>99590.4</v>
      </c>
      <c r="Y40" s="33">
        <f t="shared" si="10"/>
        <v>4.8</v>
      </c>
      <c r="Z40" s="33">
        <f t="shared" si="11"/>
        <v>478033.92</v>
      </c>
      <c r="AA40" s="33">
        <f t="shared" si="12"/>
        <v>-25159.68</v>
      </c>
    </row>
    <row r="41">
      <c r="A41" s="3" t="s">
        <v>49</v>
      </c>
      <c r="B41" s="4">
        <v>103812.0</v>
      </c>
      <c r="C41" s="5">
        <v>19.0</v>
      </c>
      <c r="D41" s="5">
        <v>37.0</v>
      </c>
      <c r="E41" s="6">
        <v>0.18</v>
      </c>
      <c r="F41" s="7">
        <v>26.4</v>
      </c>
      <c r="G41" s="6">
        <v>0.3</v>
      </c>
      <c r="H41" s="8">
        <v>0.0516</v>
      </c>
      <c r="I41" s="8">
        <v>0.027197779596</v>
      </c>
      <c r="J41" s="9">
        <v>7.0</v>
      </c>
      <c r="K41" s="29" t="str">
        <f t="shared" si="1"/>
        <v>SMB</v>
      </c>
      <c r="L41" s="30">
        <f t="shared" si="2"/>
        <v>7.92</v>
      </c>
      <c r="M41" s="31">
        <f>PERCENTRANK(B$2:B$201,B41)*'Input Resturant Brands Scoring '!$B$3</f>
        <v>28.14</v>
      </c>
      <c r="N41" s="32">
        <f>(1-PERCENTRANK(J$2:J$201,J41))*'Input Resturant Brands Scoring '!$B$5</f>
        <v>12.204</v>
      </c>
      <c r="O41" s="31">
        <f>(1-PERCENTRANK(I$2:I$201,I41))*'Input Resturant Brands Scoring '!$B$6</f>
        <v>1.752</v>
      </c>
      <c r="P41" s="31">
        <f t="shared" si="3"/>
        <v>13.956</v>
      </c>
      <c r="Q41" s="31">
        <f>PERCENTRANK(L$2:L$201,L41)*'Input Resturant Brands Scoring '!$B$7</f>
        <v>32.55</v>
      </c>
      <c r="R41" s="31">
        <f t="shared" si="4"/>
        <v>74.646</v>
      </c>
      <c r="S41" s="12">
        <f t="shared" si="5"/>
        <v>8</v>
      </c>
      <c r="T41" s="12" t="str">
        <f t="shared" si="13"/>
        <v>S</v>
      </c>
      <c r="U41" s="33">
        <f t="shared" si="7"/>
        <v>822191.04</v>
      </c>
      <c r="V41" s="13">
        <f t="shared" si="8"/>
        <v>0.28</v>
      </c>
      <c r="W41" s="34">
        <f t="shared" si="9"/>
        <v>-0.02</v>
      </c>
      <c r="X41" s="4">
        <f>IF(T41="S", B41*(1+'Input Fee and Elasticity Inputs'!$B$9), IF(T41="A", B41*(1+'Input Fee and Elasticity Inputs'!$B$10), IF(T41="B", B41*(1+'Input Fee and Elasticity Inputs'!$B$11), B41*(1+'Input Fee and Elasticity Inputs'!$B$12))))</f>
        <v>124574.4</v>
      </c>
      <c r="Y41" s="33">
        <f t="shared" si="10"/>
        <v>7.392</v>
      </c>
      <c r="Z41" s="33">
        <f t="shared" si="11"/>
        <v>920853.9648</v>
      </c>
      <c r="AA41" s="33">
        <f t="shared" si="12"/>
        <v>98662.9248</v>
      </c>
    </row>
    <row r="42">
      <c r="A42" s="3" t="s">
        <v>50</v>
      </c>
      <c r="B42" s="4">
        <v>101676.0</v>
      </c>
      <c r="C42" s="5">
        <v>18.0</v>
      </c>
      <c r="D42" s="5">
        <v>82.0</v>
      </c>
      <c r="E42" s="6">
        <v>0.59</v>
      </c>
      <c r="F42" s="7">
        <v>25.0</v>
      </c>
      <c r="G42" s="6">
        <v>0.3</v>
      </c>
      <c r="H42" s="8">
        <v>0.0848</v>
      </c>
      <c r="I42" s="8">
        <v>0.019617585204</v>
      </c>
      <c r="J42" s="9">
        <v>19.0</v>
      </c>
      <c r="K42" s="29" t="str">
        <f t="shared" si="1"/>
        <v>SMB</v>
      </c>
      <c r="L42" s="30">
        <f t="shared" si="2"/>
        <v>7.5</v>
      </c>
      <c r="M42" s="31">
        <f>PERCENTRANK(B$2:B$201,B42)*'Input Resturant Brands Scoring '!$B$3</f>
        <v>27.965</v>
      </c>
      <c r="N42" s="32">
        <f>(1-PERCENTRANK(J$2:J$201,J42))*'Input Resturant Brands Scoring '!$B$5</f>
        <v>3.798</v>
      </c>
      <c r="O42" s="31">
        <f>(1-PERCENTRANK(I$2:I$201,I42))*'Input Resturant Brands Scoring '!$B$6</f>
        <v>5.544</v>
      </c>
      <c r="P42" s="31">
        <f t="shared" si="3"/>
        <v>9.342</v>
      </c>
      <c r="Q42" s="31">
        <f>PERCENTRANK(L$2:L$201,L42)*'Input Resturant Brands Scoring '!$B$7</f>
        <v>30.94</v>
      </c>
      <c r="R42" s="31">
        <f t="shared" si="4"/>
        <v>68.247</v>
      </c>
      <c r="S42" s="12">
        <f t="shared" si="5"/>
        <v>26</v>
      </c>
      <c r="T42" s="12" t="str">
        <f t="shared" si="13"/>
        <v>A</v>
      </c>
      <c r="U42" s="33">
        <f t="shared" si="7"/>
        <v>762570</v>
      </c>
      <c r="V42" s="13">
        <f t="shared" si="8"/>
        <v>0.295</v>
      </c>
      <c r="W42" s="34">
        <f t="shared" si="9"/>
        <v>-0.005</v>
      </c>
      <c r="X42" s="4">
        <f>IF(T42="S", B42*(1+'Input Fee and Elasticity Inputs'!$B$9), IF(T42="A", B42*(1+'Input Fee and Elasticity Inputs'!$B$10), IF(T42="B", B42*(1+'Input Fee and Elasticity Inputs'!$B$11), B42*(1+'Input Fee and Elasticity Inputs'!$B$12))))</f>
        <v>111843.6</v>
      </c>
      <c r="Y42" s="33">
        <f t="shared" si="10"/>
        <v>7.375</v>
      </c>
      <c r="Z42" s="33">
        <f t="shared" si="11"/>
        <v>824846.55</v>
      </c>
      <c r="AA42" s="33">
        <f t="shared" si="12"/>
        <v>62276.55</v>
      </c>
    </row>
    <row r="43">
      <c r="A43" s="3" t="s">
        <v>51</v>
      </c>
      <c r="B43" s="4">
        <v>99120.0</v>
      </c>
      <c r="C43" s="5">
        <v>58.0</v>
      </c>
      <c r="D43" s="5">
        <v>276.0</v>
      </c>
      <c r="E43" s="6">
        <v>0.95</v>
      </c>
      <c r="F43" s="7">
        <v>28.0</v>
      </c>
      <c r="G43" s="6">
        <v>0.3</v>
      </c>
      <c r="H43" s="8">
        <v>0.018</v>
      </c>
      <c r="I43" s="8">
        <v>0.028815283572</v>
      </c>
      <c r="J43" s="9">
        <v>6.0</v>
      </c>
      <c r="K43" s="29" t="str">
        <f t="shared" si="1"/>
        <v>Enterprise</v>
      </c>
      <c r="L43" s="30">
        <f t="shared" si="2"/>
        <v>8.4</v>
      </c>
      <c r="M43" s="31">
        <f>PERCENTRANK(B$2:B$201,B43)*'Input Resturant Brands Scoring '!$B$3</f>
        <v>27.79</v>
      </c>
      <c r="N43" s="32">
        <f>(1-PERCENTRANK(J$2:J$201,J43))*'Input Resturant Brands Scoring '!$B$5</f>
        <v>14.022</v>
      </c>
      <c r="O43" s="31">
        <f>(1-PERCENTRANK(I$2:I$201,I43))*'Input Resturant Brands Scoring '!$B$6</f>
        <v>1.392</v>
      </c>
      <c r="P43" s="31">
        <f t="shared" si="3"/>
        <v>15.414</v>
      </c>
      <c r="Q43" s="31">
        <f>PERCENTRANK(L$2:L$201,L43)*'Input Resturant Brands Scoring '!$B$7</f>
        <v>33.425</v>
      </c>
      <c r="R43" s="31">
        <f t="shared" si="4"/>
        <v>76.629</v>
      </c>
      <c r="S43" s="12">
        <f t="shared" si="5"/>
        <v>4</v>
      </c>
      <c r="T43" s="12" t="str">
        <f t="shared" si="13"/>
        <v>S</v>
      </c>
      <c r="U43" s="33">
        <f t="shared" si="7"/>
        <v>832608</v>
      </c>
      <c r="V43" s="13">
        <f t="shared" si="8"/>
        <v>0.28</v>
      </c>
      <c r="W43" s="34">
        <f t="shared" si="9"/>
        <v>-0.02</v>
      </c>
      <c r="X43" s="4">
        <f>IF(T43="S", B43*(1+'Input Fee and Elasticity Inputs'!$B$9), IF(T43="A", B43*(1+'Input Fee and Elasticity Inputs'!$B$10), IF(T43="B", B43*(1+'Input Fee and Elasticity Inputs'!$B$11), B43*(1+'Input Fee and Elasticity Inputs'!$B$12))))</f>
        <v>118944</v>
      </c>
      <c r="Y43" s="33">
        <f t="shared" si="10"/>
        <v>7.84</v>
      </c>
      <c r="Z43" s="33">
        <f t="shared" si="11"/>
        <v>932520.96</v>
      </c>
      <c r="AA43" s="33">
        <f t="shared" si="12"/>
        <v>99912.96</v>
      </c>
    </row>
    <row r="44">
      <c r="A44" s="3" t="s">
        <v>52</v>
      </c>
      <c r="B44" s="4">
        <v>96696.0</v>
      </c>
      <c r="C44" s="5">
        <v>23.0</v>
      </c>
      <c r="D44" s="5">
        <v>34.0</v>
      </c>
      <c r="E44" s="6">
        <v>0.99</v>
      </c>
      <c r="F44" s="7">
        <v>14.5</v>
      </c>
      <c r="G44" s="6">
        <v>0.3</v>
      </c>
      <c r="H44" s="8">
        <v>0.0536</v>
      </c>
      <c r="I44" s="8">
        <v>0.019952900946</v>
      </c>
      <c r="J44" s="9">
        <v>39.0</v>
      </c>
      <c r="K44" s="29" t="str">
        <f t="shared" si="1"/>
        <v>Enterprise</v>
      </c>
      <c r="L44" s="30">
        <f t="shared" si="2"/>
        <v>4.35</v>
      </c>
      <c r="M44" s="31">
        <f>PERCENTRANK(B$2:B$201,B44)*'Input Resturant Brands Scoring '!$B$3</f>
        <v>27.615</v>
      </c>
      <c r="N44" s="32">
        <f>(1-PERCENTRANK(J$2:J$201,J44))*'Input Resturant Brands Scoring '!$B$5</f>
        <v>0.63</v>
      </c>
      <c r="O44" s="31">
        <f>(1-PERCENTRANK(I$2:I$201,I44))*'Input Resturant Brands Scoring '!$B$6</f>
        <v>5.244</v>
      </c>
      <c r="P44" s="31">
        <f t="shared" si="3"/>
        <v>5.874</v>
      </c>
      <c r="Q44" s="31">
        <f>PERCENTRANK(L$2:L$201,L44)*'Input Resturant Brands Scoring '!$B$7</f>
        <v>6.51</v>
      </c>
      <c r="R44" s="31">
        <f t="shared" si="4"/>
        <v>39.999</v>
      </c>
      <c r="S44" s="12">
        <f t="shared" si="5"/>
        <v>147</v>
      </c>
      <c r="T44" s="12" t="str">
        <f t="shared" si="13"/>
        <v>B</v>
      </c>
      <c r="U44" s="33">
        <f t="shared" si="7"/>
        <v>420627.6</v>
      </c>
      <c r="V44" s="13">
        <f t="shared" si="8"/>
        <v>0.3</v>
      </c>
      <c r="W44" s="34">
        <f t="shared" si="9"/>
        <v>0</v>
      </c>
      <c r="X44" s="4">
        <f>IF(T44="S", B44*(1+'Input Fee and Elasticity Inputs'!$B$9), IF(T44="A", B44*(1+'Input Fee and Elasticity Inputs'!$B$10), IF(T44="B", B44*(1+'Input Fee and Elasticity Inputs'!$B$11), B44*(1+'Input Fee and Elasticity Inputs'!$B$12))))</f>
        <v>91861.2</v>
      </c>
      <c r="Y44" s="33">
        <f t="shared" si="10"/>
        <v>4.35</v>
      </c>
      <c r="Z44" s="33">
        <f t="shared" si="11"/>
        <v>399596.22</v>
      </c>
      <c r="AA44" s="33">
        <f t="shared" si="12"/>
        <v>-21031.38</v>
      </c>
    </row>
    <row r="45">
      <c r="A45" s="3" t="s">
        <v>53</v>
      </c>
      <c r="B45" s="4">
        <v>94392.0</v>
      </c>
      <c r="C45" s="5">
        <v>47.0</v>
      </c>
      <c r="D45" s="5">
        <v>78.0</v>
      </c>
      <c r="E45" s="6">
        <v>0.47</v>
      </c>
      <c r="F45" s="7">
        <v>17.6</v>
      </c>
      <c r="G45" s="6">
        <v>0.29</v>
      </c>
      <c r="H45" s="8">
        <v>0.0608</v>
      </c>
      <c r="I45" s="8">
        <v>0.026806339482</v>
      </c>
      <c r="J45" s="9">
        <v>20.0</v>
      </c>
      <c r="K45" s="29" t="str">
        <f t="shared" si="1"/>
        <v>Enterprise</v>
      </c>
      <c r="L45" s="30">
        <f t="shared" si="2"/>
        <v>5.104</v>
      </c>
      <c r="M45" s="31">
        <f>PERCENTRANK(B$2:B$201,B45)*'Input Resturant Brands Scoring '!$B$3</f>
        <v>27.44</v>
      </c>
      <c r="N45" s="32">
        <f>(1-PERCENTRANK(J$2:J$201,J45))*'Input Resturant Brands Scoring '!$B$5</f>
        <v>3.528</v>
      </c>
      <c r="O45" s="31">
        <f>(1-PERCENTRANK(I$2:I$201,I45))*'Input Resturant Brands Scoring '!$B$6</f>
        <v>1.932</v>
      </c>
      <c r="P45" s="31">
        <f t="shared" si="3"/>
        <v>5.46</v>
      </c>
      <c r="Q45" s="31">
        <f>PERCENTRANK(L$2:L$201,L45)*'Input Resturant Brands Scoring '!$B$7</f>
        <v>13.895</v>
      </c>
      <c r="R45" s="31">
        <f t="shared" si="4"/>
        <v>46.795</v>
      </c>
      <c r="S45" s="12">
        <f t="shared" si="5"/>
        <v>123</v>
      </c>
      <c r="T45" s="12" t="str">
        <f t="shared" si="13"/>
        <v>B</v>
      </c>
      <c r="U45" s="33">
        <f t="shared" si="7"/>
        <v>481776.768</v>
      </c>
      <c r="V45" s="13">
        <f t="shared" si="8"/>
        <v>0.3</v>
      </c>
      <c r="W45" s="34">
        <f t="shared" si="9"/>
        <v>0.01</v>
      </c>
      <c r="X45" s="4">
        <f>IF(T45="S", B45*(1+'Input Fee and Elasticity Inputs'!$B$9), IF(T45="A", B45*(1+'Input Fee and Elasticity Inputs'!$B$10), IF(T45="B", B45*(1+'Input Fee and Elasticity Inputs'!$B$11), B45*(1+'Input Fee and Elasticity Inputs'!$B$12))))</f>
        <v>89672.4</v>
      </c>
      <c r="Y45" s="33">
        <f t="shared" si="10"/>
        <v>5.28</v>
      </c>
      <c r="Z45" s="33">
        <f t="shared" si="11"/>
        <v>473470.272</v>
      </c>
      <c r="AA45" s="33">
        <f t="shared" si="12"/>
        <v>-8306.496</v>
      </c>
    </row>
    <row r="46">
      <c r="A46" s="3" t="s">
        <v>54</v>
      </c>
      <c r="B46" s="4">
        <v>89832.0</v>
      </c>
      <c r="C46" s="5">
        <v>18.0</v>
      </c>
      <c r="D46" s="5">
        <v>82.0</v>
      </c>
      <c r="E46" s="6">
        <v>0.29</v>
      </c>
      <c r="F46" s="7">
        <v>18.5</v>
      </c>
      <c r="G46" s="6">
        <v>0.3</v>
      </c>
      <c r="H46" s="8">
        <v>0.0316</v>
      </c>
      <c r="I46" s="8">
        <v>0.023753315844000002</v>
      </c>
      <c r="J46" s="9">
        <v>4.0</v>
      </c>
      <c r="K46" s="29" t="str">
        <f t="shared" si="1"/>
        <v>SMB</v>
      </c>
      <c r="L46" s="30">
        <f t="shared" si="2"/>
        <v>5.55</v>
      </c>
      <c r="M46" s="31">
        <f>PERCENTRANK(B$2:B$201,B46)*'Input Resturant Brands Scoring '!$B$3</f>
        <v>27.265</v>
      </c>
      <c r="N46" s="32">
        <f>(1-PERCENTRANK(J$2:J$201,J46))*'Input Resturant Brands Scoring '!$B$5</f>
        <v>17.1</v>
      </c>
      <c r="O46" s="31">
        <f>(1-PERCENTRANK(I$2:I$201,I46))*'Input Resturant Brands Scoring '!$B$6</f>
        <v>3.132</v>
      </c>
      <c r="P46" s="31">
        <f t="shared" si="3"/>
        <v>20.232</v>
      </c>
      <c r="Q46" s="31">
        <f>PERCENTRANK(L$2:L$201,L46)*'Input Resturant Brands Scoring '!$B$7</f>
        <v>19.355</v>
      </c>
      <c r="R46" s="31">
        <f t="shared" si="4"/>
        <v>66.852</v>
      </c>
      <c r="S46" s="12">
        <f t="shared" si="5"/>
        <v>29</v>
      </c>
      <c r="T46" s="12" t="str">
        <f t="shared" si="13"/>
        <v>A</v>
      </c>
      <c r="U46" s="33">
        <f t="shared" si="7"/>
        <v>498567.6</v>
      </c>
      <c r="V46" s="13">
        <f t="shared" si="8"/>
        <v>0.295</v>
      </c>
      <c r="W46" s="34">
        <f t="shared" si="9"/>
        <v>-0.005</v>
      </c>
      <c r="X46" s="4">
        <f>IF(T46="S", B46*(1+'Input Fee and Elasticity Inputs'!$B$9), IF(T46="A", B46*(1+'Input Fee and Elasticity Inputs'!$B$10), IF(T46="B", B46*(1+'Input Fee and Elasticity Inputs'!$B$11), B46*(1+'Input Fee and Elasticity Inputs'!$B$12))))</f>
        <v>98815.2</v>
      </c>
      <c r="Y46" s="33">
        <f t="shared" si="10"/>
        <v>5.4575</v>
      </c>
      <c r="Z46" s="33">
        <f t="shared" si="11"/>
        <v>539283.954</v>
      </c>
      <c r="AA46" s="33">
        <f t="shared" si="12"/>
        <v>40716.354</v>
      </c>
    </row>
    <row r="47">
      <c r="A47" s="3" t="s">
        <v>55</v>
      </c>
      <c r="B47" s="4">
        <v>89628.0</v>
      </c>
      <c r="C47" s="5">
        <v>123.0</v>
      </c>
      <c r="D47" s="5">
        <v>724.0</v>
      </c>
      <c r="E47" s="6">
        <v>0.75</v>
      </c>
      <c r="F47" s="7">
        <v>17.6</v>
      </c>
      <c r="G47" s="6">
        <v>0.26</v>
      </c>
      <c r="H47" s="8">
        <v>0.0112</v>
      </c>
      <c r="I47" s="8">
        <v>0.025741895964</v>
      </c>
      <c r="J47" s="9">
        <v>8.0</v>
      </c>
      <c r="K47" s="29" t="str">
        <f t="shared" si="1"/>
        <v>Enterprise</v>
      </c>
      <c r="L47" s="30">
        <f t="shared" si="2"/>
        <v>4.576</v>
      </c>
      <c r="M47" s="31">
        <f>PERCENTRANK(B$2:B$201,B47)*'Input Resturant Brands Scoring '!$B$3</f>
        <v>27.09</v>
      </c>
      <c r="N47" s="32">
        <f>(1-PERCENTRANK(J$2:J$201,J47))*'Input Resturant Brands Scoring '!$B$5</f>
        <v>11.574</v>
      </c>
      <c r="O47" s="31">
        <f>(1-PERCENTRANK(I$2:I$201,I47))*'Input Resturant Brands Scoring '!$B$6</f>
        <v>2.412</v>
      </c>
      <c r="P47" s="31">
        <f t="shared" si="3"/>
        <v>13.986</v>
      </c>
      <c r="Q47" s="31">
        <f>PERCENTRANK(L$2:L$201,L47)*'Input Resturant Brands Scoring '!$B$7</f>
        <v>8.435</v>
      </c>
      <c r="R47" s="31">
        <f t="shared" si="4"/>
        <v>49.511</v>
      </c>
      <c r="S47" s="12">
        <f t="shared" si="5"/>
        <v>108</v>
      </c>
      <c r="T47" s="12" t="str">
        <f t="shared" si="13"/>
        <v>B</v>
      </c>
      <c r="U47" s="33">
        <f t="shared" si="7"/>
        <v>410137.728</v>
      </c>
      <c r="V47" s="13">
        <f t="shared" si="8"/>
        <v>0.28</v>
      </c>
      <c r="W47" s="34">
        <f t="shared" si="9"/>
        <v>0.02</v>
      </c>
      <c r="X47" s="4">
        <f>IF(T47="S", B47*(1+'Input Fee and Elasticity Inputs'!$B$9), IF(T47="A", B47*(1+'Input Fee and Elasticity Inputs'!$B$10), IF(T47="B", B47*(1+'Input Fee and Elasticity Inputs'!$B$11), B47*(1+'Input Fee and Elasticity Inputs'!$B$12))))</f>
        <v>85146.6</v>
      </c>
      <c r="Y47" s="33">
        <f t="shared" si="10"/>
        <v>4.928</v>
      </c>
      <c r="Z47" s="33">
        <f t="shared" si="11"/>
        <v>419602.4448</v>
      </c>
      <c r="AA47" s="33">
        <f t="shared" si="12"/>
        <v>9464.7168</v>
      </c>
    </row>
    <row r="48">
      <c r="A48" s="3" t="s">
        <v>56</v>
      </c>
      <c r="B48" s="4">
        <v>89400.0</v>
      </c>
      <c r="C48" s="5">
        <v>22.0</v>
      </c>
      <c r="D48" s="5">
        <v>37.0</v>
      </c>
      <c r="E48" s="6">
        <v>0.14</v>
      </c>
      <c r="F48" s="7">
        <v>23.7</v>
      </c>
      <c r="G48" s="6">
        <v>0.26</v>
      </c>
      <c r="H48" s="8">
        <v>0.0312</v>
      </c>
      <c r="I48" s="8">
        <v>0.023479059324</v>
      </c>
      <c r="J48" s="9">
        <v>4.0</v>
      </c>
      <c r="K48" s="29" t="str">
        <f t="shared" si="1"/>
        <v>Enterprise</v>
      </c>
      <c r="L48" s="30">
        <f t="shared" si="2"/>
        <v>6.162</v>
      </c>
      <c r="M48" s="31">
        <f>PERCENTRANK(B$2:B$201,B48)*'Input Resturant Brands Scoring '!$B$3</f>
        <v>26.915</v>
      </c>
      <c r="N48" s="32">
        <f>(1-PERCENTRANK(J$2:J$201,J48))*'Input Resturant Brands Scoring '!$B$5</f>
        <v>17.1</v>
      </c>
      <c r="O48" s="31">
        <f>(1-PERCENTRANK(I$2:I$201,I48))*'Input Resturant Brands Scoring '!$B$6</f>
        <v>3.432</v>
      </c>
      <c r="P48" s="31">
        <f t="shared" si="3"/>
        <v>20.532</v>
      </c>
      <c r="Q48" s="31">
        <f>PERCENTRANK(L$2:L$201,L48)*'Input Resturant Brands Scoring '!$B$7</f>
        <v>24.255</v>
      </c>
      <c r="R48" s="31">
        <f t="shared" si="4"/>
        <v>71.702</v>
      </c>
      <c r="S48" s="12">
        <f t="shared" si="5"/>
        <v>15</v>
      </c>
      <c r="T48" s="12" t="str">
        <f t="shared" si="13"/>
        <v>A</v>
      </c>
      <c r="U48" s="33">
        <f t="shared" si="7"/>
        <v>550882.8</v>
      </c>
      <c r="V48" s="13">
        <f t="shared" si="8"/>
        <v>0.255</v>
      </c>
      <c r="W48" s="34">
        <f t="shared" si="9"/>
        <v>-0.005</v>
      </c>
      <c r="X48" s="4">
        <f>IF(T48="S", B48*(1+'Input Fee and Elasticity Inputs'!$B$9), IF(T48="A", B48*(1+'Input Fee and Elasticity Inputs'!$B$10), IF(T48="B", B48*(1+'Input Fee and Elasticity Inputs'!$B$11), B48*(1+'Input Fee and Elasticity Inputs'!$B$12))))</f>
        <v>98340</v>
      </c>
      <c r="Y48" s="33">
        <f t="shared" si="10"/>
        <v>6.0435</v>
      </c>
      <c r="Z48" s="33">
        <f t="shared" si="11"/>
        <v>594317.79</v>
      </c>
      <c r="AA48" s="33">
        <f t="shared" si="12"/>
        <v>43434.99</v>
      </c>
    </row>
    <row r="49">
      <c r="A49" s="3" t="s">
        <v>57</v>
      </c>
      <c r="B49" s="4">
        <v>88608.0</v>
      </c>
      <c r="C49" s="5">
        <v>26.0</v>
      </c>
      <c r="D49" s="5">
        <v>30.0</v>
      </c>
      <c r="E49" s="6">
        <v>0.55</v>
      </c>
      <c r="F49" s="7">
        <v>15.6</v>
      </c>
      <c r="G49" s="6">
        <v>0.3</v>
      </c>
      <c r="H49" s="8">
        <v>0.0344</v>
      </c>
      <c r="I49" s="8">
        <v>0.024423862997999996</v>
      </c>
      <c r="J49" s="9">
        <v>6.0</v>
      </c>
      <c r="K49" s="29" t="str">
        <f t="shared" si="1"/>
        <v>Enterprise</v>
      </c>
      <c r="L49" s="30">
        <f t="shared" si="2"/>
        <v>4.68</v>
      </c>
      <c r="M49" s="31">
        <f>PERCENTRANK(B$2:B$201,B49)*'Input Resturant Brands Scoring '!$B$3</f>
        <v>26.74</v>
      </c>
      <c r="N49" s="32">
        <f>(1-PERCENTRANK(J$2:J$201,J49))*'Input Resturant Brands Scoring '!$B$5</f>
        <v>14.022</v>
      </c>
      <c r="O49" s="31">
        <f>(1-PERCENTRANK(I$2:I$201,I49))*'Input Resturant Brands Scoring '!$B$6</f>
        <v>2.832</v>
      </c>
      <c r="P49" s="31">
        <f t="shared" si="3"/>
        <v>16.854</v>
      </c>
      <c r="Q49" s="31">
        <f>PERCENTRANK(L$2:L$201,L49)*'Input Resturant Brands Scoring '!$B$7</f>
        <v>9.835</v>
      </c>
      <c r="R49" s="31">
        <f t="shared" si="4"/>
        <v>53.429</v>
      </c>
      <c r="S49" s="12">
        <f t="shared" si="5"/>
        <v>89</v>
      </c>
      <c r="T49" s="12" t="str">
        <f t="shared" si="13"/>
        <v>B</v>
      </c>
      <c r="U49" s="33">
        <f t="shared" si="7"/>
        <v>414685.44</v>
      </c>
      <c r="V49" s="13">
        <f t="shared" si="8"/>
        <v>0.3</v>
      </c>
      <c r="W49" s="34">
        <f t="shared" si="9"/>
        <v>0</v>
      </c>
      <c r="X49" s="4">
        <f>IF(T49="S", B49*(1+'Input Fee and Elasticity Inputs'!$B$9), IF(T49="A", B49*(1+'Input Fee and Elasticity Inputs'!$B$10), IF(T49="B", B49*(1+'Input Fee and Elasticity Inputs'!$B$11), B49*(1+'Input Fee and Elasticity Inputs'!$B$12))))</f>
        <v>84177.6</v>
      </c>
      <c r="Y49" s="33">
        <f t="shared" si="10"/>
        <v>4.68</v>
      </c>
      <c r="Z49" s="33">
        <f t="shared" si="11"/>
        <v>393951.168</v>
      </c>
      <c r="AA49" s="33">
        <f t="shared" si="12"/>
        <v>-20734.272</v>
      </c>
    </row>
    <row r="50">
      <c r="A50" s="3" t="s">
        <v>58</v>
      </c>
      <c r="B50" s="4">
        <v>85968.0</v>
      </c>
      <c r="C50" s="5">
        <v>18.0</v>
      </c>
      <c r="D50" s="5">
        <v>21.0</v>
      </c>
      <c r="E50" s="6">
        <v>0.83</v>
      </c>
      <c r="F50" s="7">
        <v>21.6</v>
      </c>
      <c r="G50" s="6">
        <v>0.21</v>
      </c>
      <c r="H50" s="8">
        <v>0.0324</v>
      </c>
      <c r="I50" s="8">
        <v>0.017626891242</v>
      </c>
      <c r="J50" s="9">
        <v>5.0</v>
      </c>
      <c r="K50" s="29" t="str">
        <f t="shared" si="1"/>
        <v>SMB</v>
      </c>
      <c r="L50" s="30">
        <f t="shared" si="2"/>
        <v>4.536</v>
      </c>
      <c r="M50" s="31">
        <f>PERCENTRANK(B$2:B$201,B50)*'Input Resturant Brands Scoring '!$B$3</f>
        <v>26.565</v>
      </c>
      <c r="N50" s="32">
        <f>(1-PERCENTRANK(J$2:J$201,J50))*'Input Resturant Brands Scoring '!$B$5</f>
        <v>15.462</v>
      </c>
      <c r="O50" s="31">
        <f>(1-PERCENTRANK(I$2:I$201,I50))*'Input Resturant Brands Scoring '!$B$6</f>
        <v>6.636</v>
      </c>
      <c r="P50" s="31">
        <f t="shared" si="3"/>
        <v>22.098</v>
      </c>
      <c r="Q50" s="31">
        <f>PERCENTRANK(L$2:L$201,L50)*'Input Resturant Brands Scoring '!$B$7</f>
        <v>7.91</v>
      </c>
      <c r="R50" s="31">
        <f t="shared" si="4"/>
        <v>56.573</v>
      </c>
      <c r="S50" s="12">
        <f t="shared" si="5"/>
        <v>67</v>
      </c>
      <c r="T50" s="12" t="str">
        <f t="shared" si="13"/>
        <v>B</v>
      </c>
      <c r="U50" s="33">
        <f t="shared" si="7"/>
        <v>389950.848</v>
      </c>
      <c r="V50" s="13">
        <f t="shared" si="8"/>
        <v>0.23</v>
      </c>
      <c r="W50" s="34">
        <f t="shared" si="9"/>
        <v>0.02</v>
      </c>
      <c r="X50" s="4">
        <f>IF(T50="S", B50*(1+'Input Fee and Elasticity Inputs'!$B$9), IF(T50="A", B50*(1+'Input Fee and Elasticity Inputs'!$B$10), IF(T50="B", B50*(1+'Input Fee and Elasticity Inputs'!$B$11), B50*(1+'Input Fee and Elasticity Inputs'!$B$12))))</f>
        <v>81669.6</v>
      </c>
      <c r="Y50" s="33">
        <f t="shared" si="10"/>
        <v>4.968</v>
      </c>
      <c r="Z50" s="33">
        <f t="shared" si="11"/>
        <v>405734.5728</v>
      </c>
      <c r="AA50" s="33">
        <f t="shared" si="12"/>
        <v>15783.7248</v>
      </c>
    </row>
    <row r="51">
      <c r="A51" s="3" t="s">
        <v>59</v>
      </c>
      <c r="B51" s="4">
        <v>84000.0</v>
      </c>
      <c r="C51" s="5">
        <v>19.0</v>
      </c>
      <c r="D51" s="5">
        <v>76.0</v>
      </c>
      <c r="E51" s="6">
        <v>0.39</v>
      </c>
      <c r="F51" s="7">
        <v>17.6</v>
      </c>
      <c r="G51" s="6">
        <v>0.26</v>
      </c>
      <c r="H51" s="8">
        <v>0.122</v>
      </c>
      <c r="I51" s="8">
        <v>0.016294016004</v>
      </c>
      <c r="J51" s="9">
        <v>41.0</v>
      </c>
      <c r="K51" s="29" t="str">
        <f t="shared" si="1"/>
        <v>SMB</v>
      </c>
      <c r="L51" s="30">
        <f t="shared" si="2"/>
        <v>4.576</v>
      </c>
      <c r="M51" s="31">
        <f>PERCENTRANK(B$2:B$201,B51)*'Input Resturant Brands Scoring '!$B$3</f>
        <v>26.39</v>
      </c>
      <c r="N51" s="32">
        <f>(1-PERCENTRANK(J$2:J$201,J51))*'Input Resturant Brands Scoring '!$B$5</f>
        <v>0.45</v>
      </c>
      <c r="O51" s="31">
        <f>(1-PERCENTRANK(I$2:I$201,I51))*'Input Resturant Brands Scoring '!$B$6</f>
        <v>7.716</v>
      </c>
      <c r="P51" s="31">
        <f t="shared" si="3"/>
        <v>8.166</v>
      </c>
      <c r="Q51" s="31">
        <f>PERCENTRANK(L$2:L$201,L51)*'Input Resturant Brands Scoring '!$B$7</f>
        <v>8.435</v>
      </c>
      <c r="R51" s="31">
        <f t="shared" si="4"/>
        <v>42.991</v>
      </c>
      <c r="S51" s="12">
        <f t="shared" si="5"/>
        <v>141</v>
      </c>
      <c r="T51" s="12" t="str">
        <f t="shared" si="13"/>
        <v>B</v>
      </c>
      <c r="U51" s="33">
        <f t="shared" si="7"/>
        <v>384384</v>
      </c>
      <c r="V51" s="13">
        <f t="shared" si="8"/>
        <v>0.28</v>
      </c>
      <c r="W51" s="34">
        <f t="shared" si="9"/>
        <v>0.02</v>
      </c>
      <c r="X51" s="4">
        <f>IF(T51="S", B51*(1+'Input Fee and Elasticity Inputs'!$B$9), IF(T51="A", B51*(1+'Input Fee and Elasticity Inputs'!$B$10), IF(T51="B", B51*(1+'Input Fee and Elasticity Inputs'!$B$11), B51*(1+'Input Fee and Elasticity Inputs'!$B$12))))</f>
        <v>79800</v>
      </c>
      <c r="Y51" s="33">
        <f t="shared" si="10"/>
        <v>4.928</v>
      </c>
      <c r="Z51" s="33">
        <f t="shared" si="11"/>
        <v>393254.4</v>
      </c>
      <c r="AA51" s="33">
        <f t="shared" si="12"/>
        <v>8870.4</v>
      </c>
    </row>
    <row r="52">
      <c r="A52" s="3" t="s">
        <v>60</v>
      </c>
      <c r="B52" s="4">
        <v>83808.0</v>
      </c>
      <c r="C52" s="5">
        <v>18.0</v>
      </c>
      <c r="D52" s="5">
        <v>26.0</v>
      </c>
      <c r="E52" s="6">
        <v>0.62</v>
      </c>
      <c r="F52" s="7">
        <v>14.2</v>
      </c>
      <c r="G52" s="6">
        <v>0.29</v>
      </c>
      <c r="H52" s="8">
        <v>0.0512</v>
      </c>
      <c r="I52" s="8">
        <v>0.016465429769999998</v>
      </c>
      <c r="J52" s="9">
        <v>4.0</v>
      </c>
      <c r="K52" s="29" t="str">
        <f t="shared" si="1"/>
        <v>SMB</v>
      </c>
      <c r="L52" s="30">
        <f t="shared" si="2"/>
        <v>4.118</v>
      </c>
      <c r="M52" s="31">
        <f>PERCENTRANK(B$2:B$201,B52)*'Input Resturant Brands Scoring '!$B$3</f>
        <v>26.215</v>
      </c>
      <c r="N52" s="32">
        <f>(1-PERCENTRANK(J$2:J$201,J52))*'Input Resturant Brands Scoring '!$B$5</f>
        <v>17.1</v>
      </c>
      <c r="O52" s="31">
        <f>(1-PERCENTRANK(I$2:I$201,I52))*'Input Resturant Brands Scoring '!$B$6</f>
        <v>7.476</v>
      </c>
      <c r="P52" s="31">
        <f t="shared" si="3"/>
        <v>24.576</v>
      </c>
      <c r="Q52" s="31">
        <f>PERCENTRANK(L$2:L$201,L52)*'Input Resturant Brands Scoring '!$B$7</f>
        <v>4.935</v>
      </c>
      <c r="R52" s="31">
        <f t="shared" si="4"/>
        <v>55.726</v>
      </c>
      <c r="S52" s="12">
        <f t="shared" si="5"/>
        <v>72</v>
      </c>
      <c r="T52" s="12" t="str">
        <f t="shared" si="13"/>
        <v>B</v>
      </c>
      <c r="U52" s="33">
        <f t="shared" si="7"/>
        <v>345121.344</v>
      </c>
      <c r="V52" s="13">
        <f t="shared" si="8"/>
        <v>0.3</v>
      </c>
      <c r="W52" s="34">
        <f t="shared" si="9"/>
        <v>0.01</v>
      </c>
      <c r="X52" s="4">
        <f>IF(T52="S", B52*(1+'Input Fee and Elasticity Inputs'!$B$9), IF(T52="A", B52*(1+'Input Fee and Elasticity Inputs'!$B$10), IF(T52="B", B52*(1+'Input Fee and Elasticity Inputs'!$B$11), B52*(1+'Input Fee and Elasticity Inputs'!$B$12))))</f>
        <v>79617.6</v>
      </c>
      <c r="Y52" s="33">
        <f t="shared" si="10"/>
        <v>4.26</v>
      </c>
      <c r="Z52" s="33">
        <f t="shared" si="11"/>
        <v>339170.976</v>
      </c>
      <c r="AA52" s="33">
        <f t="shared" si="12"/>
        <v>-5950.368</v>
      </c>
    </row>
    <row r="53">
      <c r="A53" s="3" t="s">
        <v>61</v>
      </c>
      <c r="B53" s="4">
        <v>83496.0</v>
      </c>
      <c r="C53" s="5">
        <v>82.0</v>
      </c>
      <c r="D53" s="5">
        <v>174.0</v>
      </c>
      <c r="E53" s="6">
        <v>0.23</v>
      </c>
      <c r="F53" s="7">
        <v>15.5</v>
      </c>
      <c r="G53" s="6">
        <v>0.3</v>
      </c>
      <c r="H53" s="8">
        <v>0.0488</v>
      </c>
      <c r="I53" s="8">
        <v>0.016134078617999998</v>
      </c>
      <c r="J53" s="9">
        <v>6.0</v>
      </c>
      <c r="K53" s="29" t="str">
        <f t="shared" si="1"/>
        <v>Enterprise</v>
      </c>
      <c r="L53" s="30">
        <f t="shared" si="2"/>
        <v>4.65</v>
      </c>
      <c r="M53" s="31">
        <f>PERCENTRANK(B$2:B$201,B53)*'Input Resturant Brands Scoring '!$B$3</f>
        <v>26.04</v>
      </c>
      <c r="N53" s="32">
        <f>(1-PERCENTRANK(J$2:J$201,J53))*'Input Resturant Brands Scoring '!$B$5</f>
        <v>14.022</v>
      </c>
      <c r="O53" s="31">
        <f>(1-PERCENTRANK(I$2:I$201,I53))*'Input Resturant Brands Scoring '!$B$6</f>
        <v>7.956</v>
      </c>
      <c r="P53" s="31">
        <f t="shared" si="3"/>
        <v>21.978</v>
      </c>
      <c r="Q53" s="31">
        <f>PERCENTRANK(L$2:L$201,L53)*'Input Resturant Brands Scoring '!$B$7</f>
        <v>9.31</v>
      </c>
      <c r="R53" s="31">
        <f t="shared" si="4"/>
        <v>57.328</v>
      </c>
      <c r="S53" s="12">
        <f t="shared" si="5"/>
        <v>65</v>
      </c>
      <c r="T53" s="12" t="str">
        <f t="shared" si="13"/>
        <v>B</v>
      </c>
      <c r="U53" s="33">
        <f t="shared" si="7"/>
        <v>388256.4</v>
      </c>
      <c r="V53" s="13">
        <f t="shared" si="8"/>
        <v>0.3</v>
      </c>
      <c r="W53" s="34">
        <f t="shared" si="9"/>
        <v>0</v>
      </c>
      <c r="X53" s="4">
        <f>IF(T53="S", B53*(1+'Input Fee and Elasticity Inputs'!$B$9), IF(T53="A", B53*(1+'Input Fee and Elasticity Inputs'!$B$10), IF(T53="B", B53*(1+'Input Fee and Elasticity Inputs'!$B$11), B53*(1+'Input Fee and Elasticity Inputs'!$B$12))))</f>
        <v>79321.2</v>
      </c>
      <c r="Y53" s="33">
        <f t="shared" si="10"/>
        <v>4.65</v>
      </c>
      <c r="Z53" s="33">
        <f t="shared" si="11"/>
        <v>368843.58</v>
      </c>
      <c r="AA53" s="33">
        <f t="shared" si="12"/>
        <v>-19412.82</v>
      </c>
    </row>
    <row r="54">
      <c r="A54" s="3" t="s">
        <v>62</v>
      </c>
      <c r="B54" s="4">
        <v>82716.0</v>
      </c>
      <c r="C54" s="5">
        <v>33.0</v>
      </c>
      <c r="D54" s="5">
        <v>60.0</v>
      </c>
      <c r="E54" s="6">
        <v>0.09</v>
      </c>
      <c r="F54" s="7">
        <v>33.6</v>
      </c>
      <c r="G54" s="6">
        <v>0.26</v>
      </c>
      <c r="H54" s="8">
        <v>0.0464</v>
      </c>
      <c r="I54" s="8">
        <v>0.015748709124</v>
      </c>
      <c r="J54" s="9">
        <v>4.0</v>
      </c>
      <c r="K54" s="29" t="str">
        <f t="shared" si="1"/>
        <v>Enterprise</v>
      </c>
      <c r="L54" s="30">
        <f t="shared" si="2"/>
        <v>8.736</v>
      </c>
      <c r="M54" s="31">
        <f>PERCENTRANK(B$2:B$201,B54)*'Input Resturant Brands Scoring '!$B$3</f>
        <v>25.865</v>
      </c>
      <c r="N54" s="32">
        <f>(1-PERCENTRANK(J$2:J$201,J54))*'Input Resturant Brands Scoring '!$B$5</f>
        <v>17.1</v>
      </c>
      <c r="O54" s="31">
        <f>(1-PERCENTRANK(I$2:I$201,I54))*'Input Resturant Brands Scoring '!$B$6</f>
        <v>8.256</v>
      </c>
      <c r="P54" s="31">
        <f t="shared" si="3"/>
        <v>25.356</v>
      </c>
      <c r="Q54" s="31">
        <f>PERCENTRANK(L$2:L$201,L54)*'Input Resturant Brands Scoring '!$B$7</f>
        <v>33.95</v>
      </c>
      <c r="R54" s="31">
        <f t="shared" si="4"/>
        <v>85.171</v>
      </c>
      <c r="S54" s="12">
        <f t="shared" si="5"/>
        <v>2</v>
      </c>
      <c r="T54" s="12" t="str">
        <f t="shared" si="13"/>
        <v>S</v>
      </c>
      <c r="U54" s="33">
        <f t="shared" si="7"/>
        <v>722606.976</v>
      </c>
      <c r="V54" s="13">
        <f t="shared" si="8"/>
        <v>0.24</v>
      </c>
      <c r="W54" s="34">
        <f t="shared" si="9"/>
        <v>-0.02</v>
      </c>
      <c r="X54" s="4">
        <f>IF(T54="S", B54*(1+'Input Fee and Elasticity Inputs'!$B$9), IF(T54="A", B54*(1+'Input Fee and Elasticity Inputs'!$B$10), IF(T54="B", B54*(1+'Input Fee and Elasticity Inputs'!$B$11), B54*(1+'Input Fee and Elasticity Inputs'!$B$12))))</f>
        <v>99259.2</v>
      </c>
      <c r="Y54" s="33">
        <f t="shared" si="10"/>
        <v>8.064</v>
      </c>
      <c r="Z54" s="33">
        <f t="shared" si="11"/>
        <v>800426.1888</v>
      </c>
      <c r="AA54" s="33">
        <f t="shared" si="12"/>
        <v>77819.2128</v>
      </c>
    </row>
    <row r="55">
      <c r="A55" s="3" t="s">
        <v>63</v>
      </c>
      <c r="B55" s="4">
        <v>78336.0</v>
      </c>
      <c r="C55" s="5">
        <v>17.0</v>
      </c>
      <c r="D55" s="5">
        <v>24.0</v>
      </c>
      <c r="E55" s="6">
        <v>0.5</v>
      </c>
      <c r="F55" s="7">
        <v>26.0</v>
      </c>
      <c r="G55" s="6">
        <v>0.25</v>
      </c>
      <c r="H55" s="8">
        <v>0.0592</v>
      </c>
      <c r="I55" s="8">
        <v>0.019840299114</v>
      </c>
      <c r="J55" s="9">
        <v>6.0</v>
      </c>
      <c r="K55" s="29" t="str">
        <f t="shared" si="1"/>
        <v>SMB</v>
      </c>
      <c r="L55" s="30">
        <f t="shared" si="2"/>
        <v>6.5</v>
      </c>
      <c r="M55" s="31">
        <f>PERCENTRANK(B$2:B$201,B55)*'Input Resturant Brands Scoring '!$B$3</f>
        <v>25.69</v>
      </c>
      <c r="N55" s="32">
        <f>(1-PERCENTRANK(J$2:J$201,J55))*'Input Resturant Brands Scoring '!$B$5</f>
        <v>14.022</v>
      </c>
      <c r="O55" s="31">
        <f>(1-PERCENTRANK(I$2:I$201,I55))*'Input Resturant Brands Scoring '!$B$6</f>
        <v>5.304</v>
      </c>
      <c r="P55" s="31">
        <f t="shared" si="3"/>
        <v>19.326</v>
      </c>
      <c r="Q55" s="31">
        <f>PERCENTRANK(L$2:L$201,L55)*'Input Resturant Brands Scoring '!$B$7</f>
        <v>25.69</v>
      </c>
      <c r="R55" s="31">
        <f t="shared" si="4"/>
        <v>70.706</v>
      </c>
      <c r="S55" s="12">
        <f t="shared" si="5"/>
        <v>17</v>
      </c>
      <c r="T55" s="12" t="str">
        <f t="shared" si="13"/>
        <v>A</v>
      </c>
      <c r="U55" s="33">
        <f t="shared" si="7"/>
        <v>509184</v>
      </c>
      <c r="V55" s="13">
        <f t="shared" si="8"/>
        <v>0.245</v>
      </c>
      <c r="W55" s="34">
        <f t="shared" si="9"/>
        <v>-0.005</v>
      </c>
      <c r="X55" s="4">
        <f>IF(T55="S", B55*(1+'Input Fee and Elasticity Inputs'!$B$9), IF(T55="A", B55*(1+'Input Fee and Elasticity Inputs'!$B$10), IF(T55="B", B55*(1+'Input Fee and Elasticity Inputs'!$B$11), B55*(1+'Input Fee and Elasticity Inputs'!$B$12))))</f>
        <v>86169.6</v>
      </c>
      <c r="Y55" s="33">
        <f t="shared" si="10"/>
        <v>6.37</v>
      </c>
      <c r="Z55" s="33">
        <f t="shared" si="11"/>
        <v>548900.352</v>
      </c>
      <c r="AA55" s="33">
        <f t="shared" si="12"/>
        <v>39716.352</v>
      </c>
    </row>
    <row r="56">
      <c r="A56" s="3" t="s">
        <v>64</v>
      </c>
      <c r="B56" s="4">
        <v>77112.0</v>
      </c>
      <c r="C56" s="5">
        <v>19.0</v>
      </c>
      <c r="D56" s="5">
        <v>119.0</v>
      </c>
      <c r="E56" s="6">
        <v>0.79</v>
      </c>
      <c r="F56" s="7">
        <v>19.2</v>
      </c>
      <c r="G56" s="6">
        <v>0.11</v>
      </c>
      <c r="H56" s="8">
        <v>0.0756</v>
      </c>
      <c r="I56" s="8">
        <v>0.026130762611999998</v>
      </c>
      <c r="J56" s="9">
        <v>40.0</v>
      </c>
      <c r="K56" s="29" t="str">
        <f t="shared" si="1"/>
        <v>SMB</v>
      </c>
      <c r="L56" s="30">
        <f t="shared" si="2"/>
        <v>2.112</v>
      </c>
      <c r="M56" s="31">
        <f>PERCENTRANK(B$2:B$201,B56)*'Input Resturant Brands Scoring '!$B$3</f>
        <v>25.515</v>
      </c>
      <c r="N56" s="32">
        <f>(1-PERCENTRANK(J$2:J$201,J56))*'Input Resturant Brands Scoring '!$B$5</f>
        <v>0.54</v>
      </c>
      <c r="O56" s="31">
        <f>(1-PERCENTRANK(I$2:I$201,I56))*'Input Resturant Brands Scoring '!$B$6</f>
        <v>2.292</v>
      </c>
      <c r="P56" s="31">
        <f t="shared" si="3"/>
        <v>2.832</v>
      </c>
      <c r="Q56" s="31">
        <f>PERCENTRANK(L$2:L$201,L56)*'Input Resturant Brands Scoring '!$B$7</f>
        <v>0</v>
      </c>
      <c r="R56" s="31">
        <f t="shared" si="4"/>
        <v>28.347</v>
      </c>
      <c r="S56" s="12">
        <f t="shared" si="5"/>
        <v>186</v>
      </c>
      <c r="T56" s="12" t="str">
        <f t="shared" si="13"/>
        <v>C</v>
      </c>
      <c r="U56" s="33">
        <f t="shared" si="7"/>
        <v>162860.544</v>
      </c>
      <c r="V56" s="13">
        <f t="shared" si="8"/>
        <v>0.14</v>
      </c>
      <c r="W56" s="34">
        <f t="shared" si="9"/>
        <v>0.03</v>
      </c>
      <c r="X56" s="4">
        <f>IF(T56="S", B56*(1+'Input Fee and Elasticity Inputs'!$B$9), IF(T56="A", B56*(1+'Input Fee and Elasticity Inputs'!$B$10), IF(T56="B", B56*(1+'Input Fee and Elasticity Inputs'!$B$11), B56*(1+'Input Fee and Elasticity Inputs'!$B$12))))</f>
        <v>65545.2</v>
      </c>
      <c r="Y56" s="33">
        <f t="shared" si="10"/>
        <v>2.688</v>
      </c>
      <c r="Z56" s="33">
        <f t="shared" si="11"/>
        <v>176185.4976</v>
      </c>
      <c r="AA56" s="33">
        <f t="shared" si="12"/>
        <v>13324.9536</v>
      </c>
    </row>
    <row r="57">
      <c r="A57" s="3" t="s">
        <v>65</v>
      </c>
      <c r="B57" s="4">
        <v>76800.0</v>
      </c>
      <c r="C57" s="5">
        <v>183.0</v>
      </c>
      <c r="D57" s="5">
        <v>654.0</v>
      </c>
      <c r="E57" s="6">
        <v>1.0</v>
      </c>
      <c r="F57" s="7">
        <v>14.1</v>
      </c>
      <c r="G57" s="6">
        <v>0.3</v>
      </c>
      <c r="H57" s="8">
        <v>0.0784</v>
      </c>
      <c r="I57" s="8">
        <v>0.028999404816</v>
      </c>
      <c r="J57" s="9">
        <v>10.0</v>
      </c>
      <c r="K57" s="29" t="str">
        <f t="shared" si="1"/>
        <v>Enterprise</v>
      </c>
      <c r="L57" s="30">
        <f t="shared" si="2"/>
        <v>4.23</v>
      </c>
      <c r="M57" s="31">
        <f>PERCENTRANK(B$2:B$201,B57)*'Input Resturant Brands Scoring '!$B$3</f>
        <v>25.34</v>
      </c>
      <c r="N57" s="32">
        <f>(1-PERCENTRANK(J$2:J$201,J57))*'Input Resturant Brands Scoring '!$B$5</f>
        <v>9.054</v>
      </c>
      <c r="O57" s="31">
        <f>(1-PERCENTRANK(I$2:I$201,I57))*'Input Resturant Brands Scoring '!$B$6</f>
        <v>1.14</v>
      </c>
      <c r="P57" s="31">
        <f t="shared" si="3"/>
        <v>10.194</v>
      </c>
      <c r="Q57" s="31">
        <f>PERCENTRANK(L$2:L$201,L57)*'Input Resturant Brands Scoring '!$B$7</f>
        <v>5.46</v>
      </c>
      <c r="R57" s="31">
        <f t="shared" si="4"/>
        <v>40.994</v>
      </c>
      <c r="S57" s="12">
        <f t="shared" si="5"/>
        <v>145</v>
      </c>
      <c r="T57" s="12" t="str">
        <f t="shared" si="13"/>
        <v>B</v>
      </c>
      <c r="U57" s="33">
        <f t="shared" si="7"/>
        <v>324864</v>
      </c>
      <c r="V57" s="13">
        <f t="shared" si="8"/>
        <v>0.3</v>
      </c>
      <c r="W57" s="34">
        <f t="shared" si="9"/>
        <v>0</v>
      </c>
      <c r="X57" s="4">
        <f>IF(T57="S", B57*(1+'Input Fee and Elasticity Inputs'!$B$9), IF(T57="A", B57*(1+'Input Fee and Elasticity Inputs'!$B$10), IF(T57="B", B57*(1+'Input Fee and Elasticity Inputs'!$B$11), B57*(1+'Input Fee and Elasticity Inputs'!$B$12))))</f>
        <v>72960</v>
      </c>
      <c r="Y57" s="33">
        <f t="shared" si="10"/>
        <v>4.23</v>
      </c>
      <c r="Z57" s="33">
        <f t="shared" si="11"/>
        <v>308620.8</v>
      </c>
      <c r="AA57" s="33">
        <f t="shared" si="12"/>
        <v>-16243.2</v>
      </c>
    </row>
    <row r="58">
      <c r="A58" s="3" t="s">
        <v>66</v>
      </c>
      <c r="B58" s="4">
        <v>76752.0</v>
      </c>
      <c r="C58" s="5">
        <v>17.0</v>
      </c>
      <c r="D58" s="5">
        <v>27.0</v>
      </c>
      <c r="E58" s="6">
        <v>0.61</v>
      </c>
      <c r="F58" s="7">
        <v>13.6</v>
      </c>
      <c r="G58" s="6">
        <v>0.27</v>
      </c>
      <c r="H58" s="8">
        <v>0.0952</v>
      </c>
      <c r="I58" s="8">
        <v>0.020171367521999998</v>
      </c>
      <c r="J58" s="9">
        <v>21.0</v>
      </c>
      <c r="K58" s="29" t="str">
        <f t="shared" si="1"/>
        <v>SMB</v>
      </c>
      <c r="L58" s="30">
        <f t="shared" si="2"/>
        <v>3.672</v>
      </c>
      <c r="M58" s="31">
        <f>PERCENTRANK(B$2:B$201,B58)*'Input Resturant Brands Scoring '!$B$3</f>
        <v>25.165</v>
      </c>
      <c r="N58" s="32">
        <f>(1-PERCENTRANK(J$2:J$201,J58))*'Input Resturant Brands Scoring '!$B$5</f>
        <v>3.348</v>
      </c>
      <c r="O58" s="31">
        <f>(1-PERCENTRANK(I$2:I$201,I58))*'Input Resturant Brands Scoring '!$B$6</f>
        <v>5.124</v>
      </c>
      <c r="P58" s="31">
        <f t="shared" si="3"/>
        <v>8.472</v>
      </c>
      <c r="Q58" s="31">
        <f>PERCENTRANK(L$2:L$201,L58)*'Input Resturant Brands Scoring '!$B$7</f>
        <v>1.925</v>
      </c>
      <c r="R58" s="31">
        <f t="shared" si="4"/>
        <v>35.562</v>
      </c>
      <c r="S58" s="12">
        <f t="shared" si="5"/>
        <v>165</v>
      </c>
      <c r="T58" s="12" t="str">
        <f t="shared" si="13"/>
        <v>C</v>
      </c>
      <c r="U58" s="33">
        <f t="shared" si="7"/>
        <v>281833.344</v>
      </c>
      <c r="V58" s="13">
        <f t="shared" si="8"/>
        <v>0.3</v>
      </c>
      <c r="W58" s="34">
        <f t="shared" si="9"/>
        <v>0.03</v>
      </c>
      <c r="X58" s="4">
        <f>IF(T58="S", B58*(1+'Input Fee and Elasticity Inputs'!$B$9), IF(T58="A", B58*(1+'Input Fee and Elasticity Inputs'!$B$10), IF(T58="B", B58*(1+'Input Fee and Elasticity Inputs'!$B$11), B58*(1+'Input Fee and Elasticity Inputs'!$B$12))))</f>
        <v>65239.2</v>
      </c>
      <c r="Y58" s="33">
        <f t="shared" si="10"/>
        <v>4.08</v>
      </c>
      <c r="Z58" s="33">
        <f t="shared" si="11"/>
        <v>266175.936</v>
      </c>
      <c r="AA58" s="33">
        <f t="shared" si="12"/>
        <v>-15657.408</v>
      </c>
    </row>
    <row r="59">
      <c r="A59" s="3" t="s">
        <v>67</v>
      </c>
      <c r="B59" s="4">
        <v>76632.0</v>
      </c>
      <c r="C59" s="5">
        <v>17.0</v>
      </c>
      <c r="D59" s="5">
        <v>49.0</v>
      </c>
      <c r="E59" s="6">
        <v>0.23</v>
      </c>
      <c r="F59" s="7">
        <v>27.2</v>
      </c>
      <c r="G59" s="6">
        <v>0.29</v>
      </c>
      <c r="H59" s="8">
        <v>0.288</v>
      </c>
      <c r="I59" s="8">
        <v>0.023688228750000002</v>
      </c>
      <c r="J59" s="9">
        <v>5.0</v>
      </c>
      <c r="K59" s="29" t="str">
        <f t="shared" si="1"/>
        <v>SMB</v>
      </c>
      <c r="L59" s="30">
        <f t="shared" si="2"/>
        <v>7.888</v>
      </c>
      <c r="M59" s="31">
        <f>PERCENTRANK(B$2:B$201,B59)*'Input Resturant Brands Scoring '!$B$3</f>
        <v>24.99</v>
      </c>
      <c r="N59" s="32">
        <f>(1-PERCENTRANK(J$2:J$201,J59))*'Input Resturant Brands Scoring '!$B$5</f>
        <v>15.462</v>
      </c>
      <c r="O59" s="31">
        <f>(1-PERCENTRANK(I$2:I$201,I59))*'Input Resturant Brands Scoring '!$B$6</f>
        <v>3.192</v>
      </c>
      <c r="P59" s="31">
        <f t="shared" si="3"/>
        <v>18.654</v>
      </c>
      <c r="Q59" s="31">
        <f>PERCENTRANK(L$2:L$201,L59)*'Input Resturant Brands Scoring '!$B$7</f>
        <v>32.375</v>
      </c>
      <c r="R59" s="31">
        <f t="shared" si="4"/>
        <v>76.019</v>
      </c>
      <c r="S59" s="12">
        <f t="shared" si="5"/>
        <v>6</v>
      </c>
      <c r="T59" s="12" t="str">
        <f t="shared" si="13"/>
        <v>S</v>
      </c>
      <c r="U59" s="33">
        <f t="shared" si="7"/>
        <v>604473.216</v>
      </c>
      <c r="V59" s="13">
        <f t="shared" si="8"/>
        <v>0.27</v>
      </c>
      <c r="W59" s="34">
        <f t="shared" si="9"/>
        <v>-0.02</v>
      </c>
      <c r="X59" s="4">
        <f>IF(T59="S", B59*(1+'Input Fee and Elasticity Inputs'!$B$9), IF(T59="A", B59*(1+'Input Fee and Elasticity Inputs'!$B$10), IF(T59="B", B59*(1+'Input Fee and Elasticity Inputs'!$B$11), B59*(1+'Input Fee and Elasticity Inputs'!$B$12))))</f>
        <v>91958.4</v>
      </c>
      <c r="Y59" s="33">
        <f t="shared" si="10"/>
        <v>7.344</v>
      </c>
      <c r="Z59" s="33">
        <f t="shared" si="11"/>
        <v>675342.4896</v>
      </c>
      <c r="AA59" s="33">
        <f t="shared" si="12"/>
        <v>70869.2736</v>
      </c>
    </row>
    <row r="60">
      <c r="A60" s="3" t="s">
        <v>68</v>
      </c>
      <c r="B60" s="4">
        <v>76464.0</v>
      </c>
      <c r="C60" s="5">
        <v>30.0</v>
      </c>
      <c r="D60" s="5">
        <v>67.0</v>
      </c>
      <c r="E60" s="6">
        <v>0.62</v>
      </c>
      <c r="F60" s="7">
        <v>28.0</v>
      </c>
      <c r="G60" s="6">
        <v>0.3</v>
      </c>
      <c r="H60" s="8">
        <v>0.0296</v>
      </c>
      <c r="I60" s="8">
        <v>0.012617242164</v>
      </c>
      <c r="J60" s="9">
        <v>8.0</v>
      </c>
      <c r="K60" s="29" t="str">
        <f t="shared" si="1"/>
        <v>Enterprise</v>
      </c>
      <c r="L60" s="30">
        <f t="shared" si="2"/>
        <v>8.4</v>
      </c>
      <c r="M60" s="31">
        <f>PERCENTRANK(B$2:B$201,B60)*'Input Resturant Brands Scoring '!$B$3</f>
        <v>24.815</v>
      </c>
      <c r="N60" s="32">
        <f>(1-PERCENTRANK(J$2:J$201,J60))*'Input Resturant Brands Scoring '!$B$5</f>
        <v>11.574</v>
      </c>
      <c r="O60" s="31">
        <f>(1-PERCENTRANK(I$2:I$201,I60))*'Input Resturant Brands Scoring '!$B$6</f>
        <v>11.04</v>
      </c>
      <c r="P60" s="31">
        <f t="shared" si="3"/>
        <v>22.614</v>
      </c>
      <c r="Q60" s="31">
        <f>PERCENTRANK(L$2:L$201,L60)*'Input Resturant Brands Scoring '!$B$7</f>
        <v>33.425</v>
      </c>
      <c r="R60" s="31">
        <f t="shared" si="4"/>
        <v>80.854</v>
      </c>
      <c r="S60" s="12">
        <f t="shared" si="5"/>
        <v>3</v>
      </c>
      <c r="T60" s="12" t="str">
        <f t="shared" si="13"/>
        <v>S</v>
      </c>
      <c r="U60" s="33">
        <f t="shared" si="7"/>
        <v>642297.6</v>
      </c>
      <c r="V60" s="13">
        <f t="shared" si="8"/>
        <v>0.28</v>
      </c>
      <c r="W60" s="34">
        <f t="shared" si="9"/>
        <v>-0.02</v>
      </c>
      <c r="X60" s="4">
        <f>IF(T60="S", B60*(1+'Input Fee and Elasticity Inputs'!$B$9), IF(T60="A", B60*(1+'Input Fee and Elasticity Inputs'!$B$10), IF(T60="B", B60*(1+'Input Fee and Elasticity Inputs'!$B$11), B60*(1+'Input Fee and Elasticity Inputs'!$B$12))))</f>
        <v>91756.8</v>
      </c>
      <c r="Y60" s="33">
        <f t="shared" si="10"/>
        <v>7.84</v>
      </c>
      <c r="Z60" s="33">
        <f t="shared" si="11"/>
        <v>719373.312</v>
      </c>
      <c r="AA60" s="33">
        <f t="shared" si="12"/>
        <v>77075.712</v>
      </c>
    </row>
    <row r="61">
      <c r="A61" s="3" t="s">
        <v>69</v>
      </c>
      <c r="B61" s="4">
        <v>74976.0</v>
      </c>
      <c r="C61" s="5">
        <v>81.0</v>
      </c>
      <c r="D61" s="5">
        <v>232.0</v>
      </c>
      <c r="E61" s="6">
        <v>0.8</v>
      </c>
      <c r="F61" s="7">
        <v>18.0</v>
      </c>
      <c r="G61" s="6">
        <v>0.27</v>
      </c>
      <c r="H61" s="8">
        <v>0.0408</v>
      </c>
      <c r="I61" s="8">
        <v>0.019511749614</v>
      </c>
      <c r="J61" s="9">
        <v>3.0</v>
      </c>
      <c r="K61" s="29" t="str">
        <f t="shared" si="1"/>
        <v>Enterprise</v>
      </c>
      <c r="L61" s="30">
        <f t="shared" si="2"/>
        <v>4.86</v>
      </c>
      <c r="M61" s="31">
        <f>PERCENTRANK(B$2:B$201,B61)*'Input Resturant Brands Scoring '!$B$3</f>
        <v>24.64</v>
      </c>
      <c r="N61" s="32">
        <f>(1-PERCENTRANK(J$2:J$201,J61))*'Input Resturant Brands Scoring '!$B$5</f>
        <v>18</v>
      </c>
      <c r="O61" s="31">
        <f>(1-PERCENTRANK(I$2:I$201,I61))*'Input Resturant Brands Scoring '!$B$6</f>
        <v>5.664</v>
      </c>
      <c r="P61" s="31">
        <f t="shared" si="3"/>
        <v>23.664</v>
      </c>
      <c r="Q61" s="31">
        <f>PERCENTRANK(L$2:L$201,L61)*'Input Resturant Brands Scoring '!$B$7</f>
        <v>11.97</v>
      </c>
      <c r="R61" s="31">
        <f t="shared" si="4"/>
        <v>60.274</v>
      </c>
      <c r="S61" s="12">
        <f t="shared" si="5"/>
        <v>53</v>
      </c>
      <c r="T61" s="12" t="str">
        <f t="shared" si="13"/>
        <v>B</v>
      </c>
      <c r="U61" s="33">
        <f t="shared" si="7"/>
        <v>364383.36</v>
      </c>
      <c r="V61" s="13">
        <f t="shared" si="8"/>
        <v>0.29</v>
      </c>
      <c r="W61" s="34">
        <f t="shared" si="9"/>
        <v>0.02</v>
      </c>
      <c r="X61" s="4">
        <f>IF(T61="S", B61*(1+'Input Fee and Elasticity Inputs'!$B$9), IF(T61="A", B61*(1+'Input Fee and Elasticity Inputs'!$B$10), IF(T61="B", B61*(1+'Input Fee and Elasticity Inputs'!$B$11), B61*(1+'Input Fee and Elasticity Inputs'!$B$12))))</f>
        <v>71227.2</v>
      </c>
      <c r="Y61" s="33">
        <f t="shared" si="10"/>
        <v>5.22</v>
      </c>
      <c r="Z61" s="33">
        <f t="shared" si="11"/>
        <v>371805.984</v>
      </c>
      <c r="AA61" s="33">
        <f t="shared" si="12"/>
        <v>7422.624</v>
      </c>
    </row>
    <row r="62">
      <c r="A62" s="3" t="s">
        <v>70</v>
      </c>
      <c r="B62" s="4">
        <v>72576.0</v>
      </c>
      <c r="C62" s="5">
        <v>16.0</v>
      </c>
      <c r="D62" s="5">
        <v>40.0</v>
      </c>
      <c r="E62" s="6">
        <v>0.55</v>
      </c>
      <c r="F62" s="7">
        <v>25.2</v>
      </c>
      <c r="G62" s="6">
        <v>0.27</v>
      </c>
      <c r="H62" s="8">
        <v>0.078</v>
      </c>
      <c r="I62" s="8">
        <v>0.0157546917</v>
      </c>
      <c r="J62" s="9">
        <v>11.0</v>
      </c>
      <c r="K62" s="29" t="str">
        <f t="shared" si="1"/>
        <v>SMB</v>
      </c>
      <c r="L62" s="30">
        <f t="shared" si="2"/>
        <v>6.804</v>
      </c>
      <c r="M62" s="31">
        <f>PERCENTRANK(B$2:B$201,B62)*'Input Resturant Brands Scoring '!$B$3</f>
        <v>24.43</v>
      </c>
      <c r="N62" s="32">
        <f>(1-PERCENTRANK(J$2:J$201,J62))*'Input Resturant Brands Scoring '!$B$5</f>
        <v>8.136</v>
      </c>
      <c r="O62" s="31">
        <f>(1-PERCENTRANK(I$2:I$201,I62))*'Input Resturant Brands Scoring '!$B$6</f>
        <v>8.196</v>
      </c>
      <c r="P62" s="31">
        <f t="shared" si="3"/>
        <v>16.332</v>
      </c>
      <c r="Q62" s="31">
        <f>PERCENTRANK(L$2:L$201,L62)*'Input Resturant Brands Scoring '!$B$7</f>
        <v>27.965</v>
      </c>
      <c r="R62" s="31">
        <f t="shared" si="4"/>
        <v>68.727</v>
      </c>
      <c r="S62" s="12">
        <f t="shared" si="5"/>
        <v>24</v>
      </c>
      <c r="T62" s="12" t="str">
        <f t="shared" si="13"/>
        <v>A</v>
      </c>
      <c r="U62" s="33">
        <f t="shared" si="7"/>
        <v>493807.104</v>
      </c>
      <c r="V62" s="13">
        <f t="shared" si="8"/>
        <v>0.265</v>
      </c>
      <c r="W62" s="34">
        <f t="shared" si="9"/>
        <v>-0.005</v>
      </c>
      <c r="X62" s="4">
        <f>IF(T62="S", B62*(1+'Input Fee and Elasticity Inputs'!$B$9), IF(T62="A", B62*(1+'Input Fee and Elasticity Inputs'!$B$10), IF(T62="B", B62*(1+'Input Fee and Elasticity Inputs'!$B$11), B62*(1+'Input Fee and Elasticity Inputs'!$B$12))))</f>
        <v>79833.6</v>
      </c>
      <c r="Y62" s="33">
        <f t="shared" si="10"/>
        <v>6.678</v>
      </c>
      <c r="Z62" s="33">
        <f t="shared" si="11"/>
        <v>533128.7808</v>
      </c>
      <c r="AA62" s="33">
        <f t="shared" si="12"/>
        <v>39321.6768</v>
      </c>
    </row>
    <row r="63">
      <c r="A63" s="3" t="s">
        <v>71</v>
      </c>
      <c r="B63" s="4">
        <v>70224.0</v>
      </c>
      <c r="C63" s="5">
        <v>111.0</v>
      </c>
      <c r="D63" s="5">
        <v>326.0</v>
      </c>
      <c r="E63" s="6">
        <v>0.96</v>
      </c>
      <c r="F63" s="7">
        <v>34.1</v>
      </c>
      <c r="G63" s="6">
        <v>0.3</v>
      </c>
      <c r="H63" s="8">
        <v>0.0716</v>
      </c>
      <c r="I63" s="8">
        <v>0.027939903102</v>
      </c>
      <c r="J63" s="9">
        <v>8.0</v>
      </c>
      <c r="K63" s="29" t="str">
        <f t="shared" si="1"/>
        <v>Enterprise</v>
      </c>
      <c r="L63" s="30">
        <f t="shared" si="2"/>
        <v>10.23</v>
      </c>
      <c r="M63" s="31">
        <f>PERCENTRANK(B$2:B$201,B63)*'Input Resturant Brands Scoring '!$B$3</f>
        <v>24.255</v>
      </c>
      <c r="N63" s="32">
        <f>(1-PERCENTRANK(J$2:J$201,J63))*'Input Resturant Brands Scoring '!$B$5</f>
        <v>11.574</v>
      </c>
      <c r="O63" s="31">
        <f>(1-PERCENTRANK(I$2:I$201,I63))*'Input Resturant Brands Scoring '!$B$6</f>
        <v>1.632</v>
      </c>
      <c r="P63" s="31">
        <f t="shared" si="3"/>
        <v>13.206</v>
      </c>
      <c r="Q63" s="31">
        <f>PERCENTRANK(L$2:L$201,L63)*'Input Resturant Brands Scoring '!$B$7</f>
        <v>34.825</v>
      </c>
      <c r="R63" s="31">
        <f t="shared" si="4"/>
        <v>72.286</v>
      </c>
      <c r="S63" s="12">
        <f t="shared" si="5"/>
        <v>13</v>
      </c>
      <c r="T63" s="12" t="str">
        <f t="shared" si="13"/>
        <v>A</v>
      </c>
      <c r="U63" s="33">
        <f t="shared" si="7"/>
        <v>718391.52</v>
      </c>
      <c r="V63" s="13">
        <f t="shared" si="8"/>
        <v>0.295</v>
      </c>
      <c r="W63" s="34">
        <f t="shared" si="9"/>
        <v>-0.005</v>
      </c>
      <c r="X63" s="4">
        <f>IF(T63="S", B63*(1+'Input Fee and Elasticity Inputs'!$B$9), IF(T63="A", B63*(1+'Input Fee and Elasticity Inputs'!$B$10), IF(T63="B", B63*(1+'Input Fee and Elasticity Inputs'!$B$11), B63*(1+'Input Fee and Elasticity Inputs'!$B$12))))</f>
        <v>77246.4</v>
      </c>
      <c r="Y63" s="33">
        <f t="shared" si="10"/>
        <v>10.0595</v>
      </c>
      <c r="Z63" s="33">
        <f t="shared" si="11"/>
        <v>777060.1608</v>
      </c>
      <c r="AA63" s="33">
        <f t="shared" si="12"/>
        <v>58668.6408</v>
      </c>
    </row>
    <row r="64">
      <c r="A64" s="3" t="s">
        <v>72</v>
      </c>
      <c r="B64" s="4">
        <v>69960.0</v>
      </c>
      <c r="C64" s="5">
        <v>27.0</v>
      </c>
      <c r="D64" s="5">
        <v>75.0</v>
      </c>
      <c r="E64" s="6">
        <v>0.36</v>
      </c>
      <c r="F64" s="7">
        <v>14.7</v>
      </c>
      <c r="G64" s="6">
        <v>0.28</v>
      </c>
      <c r="H64" s="8">
        <v>0.0348</v>
      </c>
      <c r="I64" s="8">
        <v>0.016269380142</v>
      </c>
      <c r="J64" s="9">
        <v>22.0</v>
      </c>
      <c r="K64" s="29" t="str">
        <f t="shared" si="1"/>
        <v>Enterprise</v>
      </c>
      <c r="L64" s="30">
        <f t="shared" si="2"/>
        <v>4.116</v>
      </c>
      <c r="M64" s="31">
        <f>PERCENTRANK(B$2:B$201,B64)*'Input Resturant Brands Scoring '!$B$3</f>
        <v>24.08</v>
      </c>
      <c r="N64" s="32">
        <f>(1-PERCENTRANK(J$2:J$201,J64))*'Input Resturant Brands Scoring '!$B$5</f>
        <v>3.078</v>
      </c>
      <c r="O64" s="31">
        <f>(1-PERCENTRANK(I$2:I$201,I64))*'Input Resturant Brands Scoring '!$B$6</f>
        <v>7.776</v>
      </c>
      <c r="P64" s="31">
        <f t="shared" si="3"/>
        <v>10.854</v>
      </c>
      <c r="Q64" s="31">
        <f>PERCENTRANK(L$2:L$201,L64)*'Input Resturant Brands Scoring '!$B$7</f>
        <v>4.76</v>
      </c>
      <c r="R64" s="31">
        <f t="shared" si="4"/>
        <v>39.694</v>
      </c>
      <c r="S64" s="12">
        <f t="shared" si="5"/>
        <v>150</v>
      </c>
      <c r="T64" s="12" t="str">
        <f t="shared" si="13"/>
        <v>B</v>
      </c>
      <c r="U64" s="33">
        <f t="shared" si="7"/>
        <v>287955.36</v>
      </c>
      <c r="V64" s="13">
        <f t="shared" si="8"/>
        <v>0.3</v>
      </c>
      <c r="W64" s="34">
        <f t="shared" si="9"/>
        <v>0.02</v>
      </c>
      <c r="X64" s="4">
        <f>IF(T64="S", B64*(1+'Input Fee and Elasticity Inputs'!$B$9), IF(T64="A", B64*(1+'Input Fee and Elasticity Inputs'!$B$10), IF(T64="B", B64*(1+'Input Fee and Elasticity Inputs'!$B$11), B64*(1+'Input Fee and Elasticity Inputs'!$B$12))))</f>
        <v>66462</v>
      </c>
      <c r="Y64" s="33">
        <f t="shared" si="10"/>
        <v>4.41</v>
      </c>
      <c r="Z64" s="33">
        <f t="shared" si="11"/>
        <v>293097.42</v>
      </c>
      <c r="AA64" s="33">
        <f t="shared" si="12"/>
        <v>5142.06</v>
      </c>
    </row>
    <row r="65">
      <c r="A65" s="3" t="s">
        <v>73</v>
      </c>
      <c r="B65" s="4">
        <v>67944.0</v>
      </c>
      <c r="C65" s="5">
        <v>13.0</v>
      </c>
      <c r="D65" s="5">
        <v>36.0</v>
      </c>
      <c r="E65" s="6">
        <v>0.09</v>
      </c>
      <c r="F65" s="7">
        <v>24.7</v>
      </c>
      <c r="G65" s="6">
        <v>0.29</v>
      </c>
      <c r="H65" s="8">
        <v>0.0304</v>
      </c>
      <c r="I65" s="8">
        <v>0.018732973206</v>
      </c>
      <c r="J65" s="9">
        <v>12.0</v>
      </c>
      <c r="K65" s="29" t="str">
        <f t="shared" si="1"/>
        <v>SMB</v>
      </c>
      <c r="L65" s="30">
        <f t="shared" si="2"/>
        <v>7.163</v>
      </c>
      <c r="M65" s="31">
        <f>PERCENTRANK(B$2:B$201,B65)*'Input Resturant Brands Scoring '!$B$3</f>
        <v>23.905</v>
      </c>
      <c r="N65" s="32">
        <f>(1-PERCENTRANK(J$2:J$201,J65))*'Input Resturant Brands Scoring '!$B$5</f>
        <v>7.326</v>
      </c>
      <c r="O65" s="31">
        <f>(1-PERCENTRANK(I$2:I$201,I65))*'Input Resturant Brands Scoring '!$B$6</f>
        <v>5.904</v>
      </c>
      <c r="P65" s="31">
        <f t="shared" si="3"/>
        <v>13.23</v>
      </c>
      <c r="Q65" s="31">
        <f>PERCENTRANK(L$2:L$201,L65)*'Input Resturant Brands Scoring '!$B$7</f>
        <v>29.54</v>
      </c>
      <c r="R65" s="31">
        <f t="shared" si="4"/>
        <v>66.675</v>
      </c>
      <c r="S65" s="12">
        <f t="shared" si="5"/>
        <v>30</v>
      </c>
      <c r="T65" s="12" t="str">
        <f t="shared" si="13"/>
        <v>A</v>
      </c>
      <c r="U65" s="33">
        <f t="shared" si="7"/>
        <v>486682.872</v>
      </c>
      <c r="V65" s="13">
        <f t="shared" si="8"/>
        <v>0.285</v>
      </c>
      <c r="W65" s="34">
        <f t="shared" si="9"/>
        <v>-0.005</v>
      </c>
      <c r="X65" s="4">
        <f>IF(T65="S", B65*(1+'Input Fee and Elasticity Inputs'!$B$9), IF(T65="A", B65*(1+'Input Fee and Elasticity Inputs'!$B$10), IF(T65="B", B65*(1+'Input Fee and Elasticity Inputs'!$B$11), B65*(1+'Input Fee and Elasticity Inputs'!$B$12))))</f>
        <v>74738.4</v>
      </c>
      <c r="Y65" s="33">
        <f t="shared" si="10"/>
        <v>7.0395</v>
      </c>
      <c r="Z65" s="33">
        <f t="shared" si="11"/>
        <v>526120.9668</v>
      </c>
      <c r="AA65" s="33">
        <f t="shared" si="12"/>
        <v>39438.0948</v>
      </c>
    </row>
    <row r="66">
      <c r="A66" s="3" t="s">
        <v>74</v>
      </c>
      <c r="B66" s="4">
        <v>67596.0</v>
      </c>
      <c r="C66" s="5">
        <v>21.0</v>
      </c>
      <c r="D66" s="5">
        <v>51.0</v>
      </c>
      <c r="E66" s="6">
        <v>0.28</v>
      </c>
      <c r="F66" s="7">
        <v>19.2</v>
      </c>
      <c r="G66" s="6">
        <v>0.3</v>
      </c>
      <c r="H66" s="8">
        <v>0.084</v>
      </c>
      <c r="I66" s="8">
        <v>0.01256964207</v>
      </c>
      <c r="J66" s="9">
        <v>6.0</v>
      </c>
      <c r="K66" s="29" t="str">
        <f t="shared" si="1"/>
        <v>Enterprise</v>
      </c>
      <c r="L66" s="30">
        <f t="shared" si="2"/>
        <v>5.76</v>
      </c>
      <c r="M66" s="31">
        <f>PERCENTRANK(B$2:B$201,B66)*'Input Resturant Brands Scoring '!$B$3</f>
        <v>23.73</v>
      </c>
      <c r="N66" s="32">
        <f>(1-PERCENTRANK(J$2:J$201,J66))*'Input Resturant Brands Scoring '!$B$5</f>
        <v>14.022</v>
      </c>
      <c r="O66" s="31">
        <f>(1-PERCENTRANK(I$2:I$201,I66))*'Input Resturant Brands Scoring '!$B$6</f>
        <v>11.1</v>
      </c>
      <c r="P66" s="31">
        <f t="shared" si="3"/>
        <v>25.122</v>
      </c>
      <c r="Q66" s="31">
        <f>PERCENTRANK(L$2:L$201,L66)*'Input Resturant Brands Scoring '!$B$7</f>
        <v>21.28</v>
      </c>
      <c r="R66" s="31">
        <f t="shared" si="4"/>
        <v>70.132</v>
      </c>
      <c r="S66" s="12">
        <f t="shared" si="5"/>
        <v>19</v>
      </c>
      <c r="T66" s="12" t="str">
        <f t="shared" si="13"/>
        <v>A</v>
      </c>
      <c r="U66" s="33">
        <f t="shared" si="7"/>
        <v>389352.96</v>
      </c>
      <c r="V66" s="13">
        <f t="shared" si="8"/>
        <v>0.295</v>
      </c>
      <c r="W66" s="34">
        <f t="shared" si="9"/>
        <v>-0.005</v>
      </c>
      <c r="X66" s="4">
        <f>IF(T66="S", B66*(1+'Input Fee and Elasticity Inputs'!$B$9), IF(T66="A", B66*(1+'Input Fee and Elasticity Inputs'!$B$10), IF(T66="B", B66*(1+'Input Fee and Elasticity Inputs'!$B$11), B66*(1+'Input Fee and Elasticity Inputs'!$B$12))))</f>
        <v>74355.6</v>
      </c>
      <c r="Y66" s="33">
        <f t="shared" si="10"/>
        <v>5.664</v>
      </c>
      <c r="Z66" s="33">
        <f t="shared" si="11"/>
        <v>421150.1184</v>
      </c>
      <c r="AA66" s="33">
        <f t="shared" si="12"/>
        <v>31797.1584</v>
      </c>
    </row>
    <row r="67">
      <c r="A67" s="3" t="s">
        <v>75</v>
      </c>
      <c r="B67" s="4">
        <v>65832.0</v>
      </c>
      <c r="C67" s="5">
        <v>17.0</v>
      </c>
      <c r="D67" s="5">
        <v>25.0</v>
      </c>
      <c r="E67" s="6">
        <v>1.0</v>
      </c>
      <c r="F67" s="7">
        <v>19.1</v>
      </c>
      <c r="G67" s="6">
        <v>0.29</v>
      </c>
      <c r="H67" s="8">
        <v>0.0948</v>
      </c>
      <c r="I67" s="8">
        <v>0.022868976857999997</v>
      </c>
      <c r="J67" s="9">
        <v>27.0</v>
      </c>
      <c r="K67" s="29" t="str">
        <f t="shared" si="1"/>
        <v>SMB</v>
      </c>
      <c r="L67" s="30">
        <f t="shared" si="2"/>
        <v>5.539</v>
      </c>
      <c r="M67" s="31">
        <f>PERCENTRANK(B$2:B$201,B67)*'Input Resturant Brands Scoring '!$B$3</f>
        <v>23.555</v>
      </c>
      <c r="N67" s="32">
        <f>(1-PERCENTRANK(J$2:J$201,J67))*'Input Resturant Brands Scoring '!$B$5</f>
        <v>1.71</v>
      </c>
      <c r="O67" s="31">
        <f>(1-PERCENTRANK(I$2:I$201,I67))*'Input Resturant Brands Scoring '!$B$6</f>
        <v>3.984</v>
      </c>
      <c r="P67" s="31">
        <f t="shared" si="3"/>
        <v>5.694</v>
      </c>
      <c r="Q67" s="31">
        <f>PERCENTRANK(L$2:L$201,L67)*'Input Resturant Brands Scoring '!$B$7</f>
        <v>19.18</v>
      </c>
      <c r="R67" s="31">
        <f t="shared" si="4"/>
        <v>48.429</v>
      </c>
      <c r="S67" s="12">
        <f t="shared" si="5"/>
        <v>113</v>
      </c>
      <c r="T67" s="12" t="str">
        <f t="shared" si="13"/>
        <v>B</v>
      </c>
      <c r="U67" s="33">
        <f t="shared" si="7"/>
        <v>364643.448</v>
      </c>
      <c r="V67" s="13">
        <f t="shared" si="8"/>
        <v>0.3</v>
      </c>
      <c r="W67" s="34">
        <f t="shared" si="9"/>
        <v>0.01</v>
      </c>
      <c r="X67" s="4">
        <f>IF(T67="S", B67*(1+'Input Fee and Elasticity Inputs'!$B$9), IF(T67="A", B67*(1+'Input Fee and Elasticity Inputs'!$B$10), IF(T67="B", B67*(1+'Input Fee and Elasticity Inputs'!$B$11), B67*(1+'Input Fee and Elasticity Inputs'!$B$12))))</f>
        <v>62540.4</v>
      </c>
      <c r="Y67" s="33">
        <f t="shared" si="10"/>
        <v>5.73</v>
      </c>
      <c r="Z67" s="33">
        <f t="shared" si="11"/>
        <v>358356.492</v>
      </c>
      <c r="AA67" s="33">
        <f t="shared" si="12"/>
        <v>-6286.956</v>
      </c>
    </row>
    <row r="68">
      <c r="A68" s="3" t="s">
        <v>76</v>
      </c>
      <c r="B68" s="4">
        <v>58608.0</v>
      </c>
      <c r="C68" s="5">
        <v>18.0</v>
      </c>
      <c r="D68" s="5">
        <v>28.0</v>
      </c>
      <c r="E68" s="6">
        <v>0.1</v>
      </c>
      <c r="F68" s="7">
        <v>23.7</v>
      </c>
      <c r="G68" s="6">
        <v>0.3</v>
      </c>
      <c r="H68" s="8">
        <v>0.0824</v>
      </c>
      <c r="I68" s="8">
        <v>0.024168784884</v>
      </c>
      <c r="J68" s="9">
        <v>13.0</v>
      </c>
      <c r="K68" s="29" t="str">
        <f t="shared" si="1"/>
        <v>SMB</v>
      </c>
      <c r="L68" s="30">
        <f t="shared" si="2"/>
        <v>7.11</v>
      </c>
      <c r="M68" s="31">
        <f>PERCENTRANK(B$2:B$201,B68)*'Input Resturant Brands Scoring '!$B$3</f>
        <v>23.38</v>
      </c>
      <c r="N68" s="32">
        <f>(1-PERCENTRANK(J$2:J$201,J68))*'Input Resturant Brands Scoring '!$B$5</f>
        <v>7.056</v>
      </c>
      <c r="O68" s="31">
        <f>(1-PERCENTRANK(I$2:I$201,I68))*'Input Resturant Brands Scoring '!$B$6</f>
        <v>2.892</v>
      </c>
      <c r="P68" s="31">
        <f t="shared" si="3"/>
        <v>9.948</v>
      </c>
      <c r="Q68" s="31">
        <f>PERCENTRANK(L$2:L$201,L68)*'Input Resturant Brands Scoring '!$B$7</f>
        <v>29.365</v>
      </c>
      <c r="R68" s="31">
        <f t="shared" si="4"/>
        <v>62.693</v>
      </c>
      <c r="S68" s="12">
        <f t="shared" si="5"/>
        <v>46</v>
      </c>
      <c r="T68" s="12" t="str">
        <f t="shared" si="13"/>
        <v>A</v>
      </c>
      <c r="U68" s="33">
        <f t="shared" si="7"/>
        <v>416702.88</v>
      </c>
      <c r="V68" s="13">
        <f t="shared" si="8"/>
        <v>0.295</v>
      </c>
      <c r="W68" s="34">
        <f t="shared" si="9"/>
        <v>-0.005</v>
      </c>
      <c r="X68" s="4">
        <f>IF(T68="S", B68*(1+'Input Fee and Elasticity Inputs'!$B$9), IF(T68="A", B68*(1+'Input Fee and Elasticity Inputs'!$B$10), IF(T68="B", B68*(1+'Input Fee and Elasticity Inputs'!$B$11), B68*(1+'Input Fee and Elasticity Inputs'!$B$12))))</f>
        <v>64468.8</v>
      </c>
      <c r="Y68" s="33">
        <f t="shared" si="10"/>
        <v>6.9915</v>
      </c>
      <c r="Z68" s="33">
        <f t="shared" si="11"/>
        <v>450733.6152</v>
      </c>
      <c r="AA68" s="33">
        <f t="shared" si="12"/>
        <v>34030.7352</v>
      </c>
    </row>
    <row r="69">
      <c r="A69" s="3" t="s">
        <v>77</v>
      </c>
      <c r="B69" s="4">
        <v>58536.0</v>
      </c>
      <c r="C69" s="5">
        <v>12.0</v>
      </c>
      <c r="D69" s="5">
        <v>15.0</v>
      </c>
      <c r="E69" s="6">
        <v>0.38</v>
      </c>
      <c r="F69" s="7">
        <v>14.2</v>
      </c>
      <c r="G69" s="6">
        <v>0.27</v>
      </c>
      <c r="H69" s="8">
        <v>0.0376</v>
      </c>
      <c r="I69" s="8">
        <v>0.026526744047999998</v>
      </c>
      <c r="J69" s="9">
        <v>6.0</v>
      </c>
      <c r="K69" s="29" t="str">
        <f t="shared" si="1"/>
        <v>SMB</v>
      </c>
      <c r="L69" s="30">
        <f t="shared" si="2"/>
        <v>3.834</v>
      </c>
      <c r="M69" s="31">
        <f>PERCENTRANK(B$2:B$201,B69)*'Input Resturant Brands Scoring '!$B$3</f>
        <v>23.205</v>
      </c>
      <c r="N69" s="32">
        <f>(1-PERCENTRANK(J$2:J$201,J69))*'Input Resturant Brands Scoring '!$B$5</f>
        <v>14.022</v>
      </c>
      <c r="O69" s="31">
        <f>(1-PERCENTRANK(I$2:I$201,I69))*'Input Resturant Brands Scoring '!$B$6</f>
        <v>1.992</v>
      </c>
      <c r="P69" s="31">
        <f t="shared" si="3"/>
        <v>16.014</v>
      </c>
      <c r="Q69" s="31">
        <f>PERCENTRANK(L$2:L$201,L69)*'Input Resturant Brands Scoring '!$B$7</f>
        <v>2.625</v>
      </c>
      <c r="R69" s="31">
        <f t="shared" si="4"/>
        <v>41.844</v>
      </c>
      <c r="S69" s="12">
        <f t="shared" si="5"/>
        <v>144</v>
      </c>
      <c r="T69" s="12" t="str">
        <f t="shared" si="13"/>
        <v>B</v>
      </c>
      <c r="U69" s="33">
        <f t="shared" si="7"/>
        <v>224427.024</v>
      </c>
      <c r="V69" s="13">
        <f t="shared" si="8"/>
        <v>0.29</v>
      </c>
      <c r="W69" s="34">
        <f t="shared" si="9"/>
        <v>0.02</v>
      </c>
      <c r="X69" s="4">
        <f>IF(T69="S", B69*(1+'Input Fee and Elasticity Inputs'!$B$9), IF(T69="A", B69*(1+'Input Fee and Elasticity Inputs'!$B$10), IF(T69="B", B69*(1+'Input Fee and Elasticity Inputs'!$B$11), B69*(1+'Input Fee and Elasticity Inputs'!$B$12))))</f>
        <v>55609.2</v>
      </c>
      <c r="Y69" s="33">
        <f t="shared" si="10"/>
        <v>4.118</v>
      </c>
      <c r="Z69" s="33">
        <f t="shared" si="11"/>
        <v>228998.6856</v>
      </c>
      <c r="AA69" s="33">
        <f t="shared" si="12"/>
        <v>4571.6616</v>
      </c>
    </row>
    <row r="70">
      <c r="A70" s="3" t="s">
        <v>78</v>
      </c>
      <c r="B70" s="4">
        <v>58320.0</v>
      </c>
      <c r="C70" s="5">
        <v>30.0</v>
      </c>
      <c r="D70" s="5">
        <v>49.0</v>
      </c>
      <c r="E70" s="6">
        <v>0.29</v>
      </c>
      <c r="F70" s="7">
        <v>25.3</v>
      </c>
      <c r="G70" s="6">
        <v>0.24</v>
      </c>
      <c r="H70" s="8">
        <v>0.0696</v>
      </c>
      <c r="I70" s="8">
        <v>0.02586708498</v>
      </c>
      <c r="J70" s="9">
        <v>14.0</v>
      </c>
      <c r="K70" s="29" t="str">
        <f t="shared" si="1"/>
        <v>Enterprise</v>
      </c>
      <c r="L70" s="30">
        <f t="shared" si="2"/>
        <v>6.072</v>
      </c>
      <c r="M70" s="31">
        <f>PERCENTRANK(B$2:B$201,B70)*'Input Resturant Brands Scoring '!$B$3</f>
        <v>23.03</v>
      </c>
      <c r="N70" s="32">
        <f>(1-PERCENTRANK(J$2:J$201,J70))*'Input Resturant Brands Scoring '!$B$5</f>
        <v>6.426</v>
      </c>
      <c r="O70" s="31">
        <f>(1-PERCENTRANK(I$2:I$201,I70))*'Input Resturant Brands Scoring '!$B$6</f>
        <v>2.352</v>
      </c>
      <c r="P70" s="31">
        <f t="shared" si="3"/>
        <v>8.778</v>
      </c>
      <c r="Q70" s="31">
        <f>PERCENTRANK(L$2:L$201,L70)*'Input Resturant Brands Scoring '!$B$7</f>
        <v>23.73</v>
      </c>
      <c r="R70" s="31">
        <f t="shared" si="4"/>
        <v>55.538</v>
      </c>
      <c r="S70" s="12">
        <f t="shared" si="5"/>
        <v>73</v>
      </c>
      <c r="T70" s="12" t="str">
        <f t="shared" si="13"/>
        <v>B</v>
      </c>
      <c r="U70" s="33">
        <f t="shared" si="7"/>
        <v>354119.04</v>
      </c>
      <c r="V70" s="13">
        <f t="shared" si="8"/>
        <v>0.26</v>
      </c>
      <c r="W70" s="34">
        <f t="shared" si="9"/>
        <v>0.02</v>
      </c>
      <c r="X70" s="4">
        <f>IF(T70="S", B70*(1+'Input Fee and Elasticity Inputs'!$B$9), IF(T70="A", B70*(1+'Input Fee and Elasticity Inputs'!$B$10), IF(T70="B", B70*(1+'Input Fee and Elasticity Inputs'!$B$11), B70*(1+'Input Fee and Elasticity Inputs'!$B$12))))</f>
        <v>55404</v>
      </c>
      <c r="Y70" s="33">
        <f t="shared" si="10"/>
        <v>6.578</v>
      </c>
      <c r="Z70" s="33">
        <f t="shared" si="11"/>
        <v>364447.512</v>
      </c>
      <c r="AA70" s="33">
        <f t="shared" si="12"/>
        <v>10328.472</v>
      </c>
    </row>
    <row r="71">
      <c r="A71" s="3" t="s">
        <v>79</v>
      </c>
      <c r="B71" s="4">
        <v>57408.0</v>
      </c>
      <c r="C71" s="5">
        <v>10.0</v>
      </c>
      <c r="D71" s="5">
        <v>30.0</v>
      </c>
      <c r="E71" s="6">
        <v>0.03</v>
      </c>
      <c r="F71" s="7">
        <v>28.3</v>
      </c>
      <c r="G71" s="6">
        <v>0.22</v>
      </c>
      <c r="H71" s="8">
        <v>0.028</v>
      </c>
      <c r="I71" s="8">
        <v>0.012935757</v>
      </c>
      <c r="J71" s="9">
        <v>16.0</v>
      </c>
      <c r="K71" s="29" t="str">
        <f t="shared" si="1"/>
        <v>SMB</v>
      </c>
      <c r="L71" s="30">
        <f t="shared" si="2"/>
        <v>6.226</v>
      </c>
      <c r="M71" s="31">
        <f>PERCENTRANK(B$2:B$201,B71)*'Input Resturant Brands Scoring '!$B$3</f>
        <v>22.855</v>
      </c>
      <c r="N71" s="32">
        <f>(1-PERCENTRANK(J$2:J$201,J71))*'Input Resturant Brands Scoring '!$B$5</f>
        <v>5.148</v>
      </c>
      <c r="O71" s="31">
        <f>(1-PERCENTRANK(I$2:I$201,I71))*'Input Resturant Brands Scoring '!$B$6</f>
        <v>10.92</v>
      </c>
      <c r="P71" s="31">
        <f t="shared" si="3"/>
        <v>16.068</v>
      </c>
      <c r="Q71" s="31">
        <f>PERCENTRANK(L$2:L$201,L71)*'Input Resturant Brands Scoring '!$B$7</f>
        <v>24.64</v>
      </c>
      <c r="R71" s="31">
        <f t="shared" si="4"/>
        <v>63.563</v>
      </c>
      <c r="S71" s="12">
        <f t="shared" si="5"/>
        <v>41</v>
      </c>
      <c r="T71" s="12" t="str">
        <f t="shared" si="13"/>
        <v>A</v>
      </c>
      <c r="U71" s="33">
        <f t="shared" si="7"/>
        <v>357422.208</v>
      </c>
      <c r="V71" s="13">
        <f t="shared" si="8"/>
        <v>0.215</v>
      </c>
      <c r="W71" s="34">
        <f t="shared" si="9"/>
        <v>-0.005</v>
      </c>
      <c r="X71" s="4">
        <f>IF(T71="S", B71*(1+'Input Fee and Elasticity Inputs'!$B$9), IF(T71="A", B71*(1+'Input Fee and Elasticity Inputs'!$B$10), IF(T71="B", B71*(1+'Input Fee and Elasticity Inputs'!$B$11), B71*(1+'Input Fee and Elasticity Inputs'!$B$12))))</f>
        <v>63148.8</v>
      </c>
      <c r="Y71" s="33">
        <f t="shared" si="10"/>
        <v>6.0845</v>
      </c>
      <c r="Z71" s="33">
        <f t="shared" si="11"/>
        <v>384228.8736</v>
      </c>
      <c r="AA71" s="33">
        <f t="shared" si="12"/>
        <v>26806.6656</v>
      </c>
    </row>
    <row r="72">
      <c r="A72" s="3" t="s">
        <v>80</v>
      </c>
      <c r="B72" s="4">
        <v>56940.0</v>
      </c>
      <c r="C72" s="5">
        <v>38.0</v>
      </c>
      <c r="D72" s="5">
        <v>181.0</v>
      </c>
      <c r="E72" s="6">
        <v>0.45</v>
      </c>
      <c r="F72" s="7">
        <v>22.2</v>
      </c>
      <c r="G72" s="6">
        <v>0.3</v>
      </c>
      <c r="H72" s="8">
        <v>0.0256</v>
      </c>
      <c r="I72" s="8">
        <v>0.015326756939999998</v>
      </c>
      <c r="J72" s="9">
        <v>6.0</v>
      </c>
      <c r="K72" s="29" t="str">
        <f t="shared" si="1"/>
        <v>Enterprise</v>
      </c>
      <c r="L72" s="30">
        <f t="shared" si="2"/>
        <v>6.66</v>
      </c>
      <c r="M72" s="31">
        <f>PERCENTRANK(B$2:B$201,B72)*'Input Resturant Brands Scoring '!$B$3</f>
        <v>22.68</v>
      </c>
      <c r="N72" s="32">
        <f>(1-PERCENTRANK(J$2:J$201,J72))*'Input Resturant Brands Scoring '!$B$5</f>
        <v>14.022</v>
      </c>
      <c r="O72" s="31">
        <f>(1-PERCENTRANK(I$2:I$201,I72))*'Input Resturant Brands Scoring '!$B$6</f>
        <v>8.376</v>
      </c>
      <c r="P72" s="31">
        <f t="shared" si="3"/>
        <v>22.398</v>
      </c>
      <c r="Q72" s="31">
        <f>PERCENTRANK(L$2:L$201,L72)*'Input Resturant Brands Scoring '!$B$7</f>
        <v>27.09</v>
      </c>
      <c r="R72" s="31">
        <f t="shared" si="4"/>
        <v>72.168</v>
      </c>
      <c r="S72" s="12">
        <f t="shared" si="5"/>
        <v>14</v>
      </c>
      <c r="T72" s="12" t="str">
        <f t="shared" si="13"/>
        <v>A</v>
      </c>
      <c r="U72" s="33">
        <f t="shared" si="7"/>
        <v>379220.4</v>
      </c>
      <c r="V72" s="13">
        <f t="shared" si="8"/>
        <v>0.295</v>
      </c>
      <c r="W72" s="34">
        <f t="shared" si="9"/>
        <v>-0.005</v>
      </c>
      <c r="X72" s="4">
        <f>IF(T72="S", B72*(1+'Input Fee and Elasticity Inputs'!$B$9), IF(T72="A", B72*(1+'Input Fee and Elasticity Inputs'!$B$10), IF(T72="B", B72*(1+'Input Fee and Elasticity Inputs'!$B$11), B72*(1+'Input Fee and Elasticity Inputs'!$B$12))))</f>
        <v>62634</v>
      </c>
      <c r="Y72" s="33">
        <f t="shared" si="10"/>
        <v>6.549</v>
      </c>
      <c r="Z72" s="33">
        <f t="shared" si="11"/>
        <v>410190.066</v>
      </c>
      <c r="AA72" s="33">
        <f t="shared" si="12"/>
        <v>30969.666</v>
      </c>
    </row>
    <row r="73">
      <c r="A73" s="3" t="s">
        <v>81</v>
      </c>
      <c r="B73" s="4">
        <v>56544.0</v>
      </c>
      <c r="C73" s="5">
        <v>18.0</v>
      </c>
      <c r="D73" s="5">
        <v>86.0</v>
      </c>
      <c r="E73" s="6">
        <v>0.38</v>
      </c>
      <c r="F73" s="7">
        <v>18.9</v>
      </c>
      <c r="G73" s="6">
        <v>0.27</v>
      </c>
      <c r="H73" s="8">
        <v>0.214</v>
      </c>
      <c r="I73" s="8">
        <v>0.013790379677999998</v>
      </c>
      <c r="J73" s="9">
        <v>3.0</v>
      </c>
      <c r="K73" s="29" t="str">
        <f t="shared" si="1"/>
        <v>SMB</v>
      </c>
      <c r="L73" s="30">
        <f t="shared" si="2"/>
        <v>5.103</v>
      </c>
      <c r="M73" s="31">
        <f>PERCENTRANK(B$2:B$201,B73)*'Input Resturant Brands Scoring '!$B$3</f>
        <v>22.505</v>
      </c>
      <c r="N73" s="32">
        <f>(1-PERCENTRANK(J$2:J$201,J73))*'Input Resturant Brands Scoring '!$B$5</f>
        <v>18</v>
      </c>
      <c r="O73" s="31">
        <f>(1-PERCENTRANK(I$2:I$201,I73))*'Input Resturant Brands Scoring '!$B$6</f>
        <v>10.248</v>
      </c>
      <c r="P73" s="31">
        <f t="shared" si="3"/>
        <v>28.248</v>
      </c>
      <c r="Q73" s="31">
        <f>PERCENTRANK(L$2:L$201,L73)*'Input Resturant Brands Scoring '!$B$7</f>
        <v>13.545</v>
      </c>
      <c r="R73" s="31">
        <f t="shared" si="4"/>
        <v>64.298</v>
      </c>
      <c r="S73" s="12">
        <f t="shared" si="5"/>
        <v>38</v>
      </c>
      <c r="T73" s="12" t="str">
        <f t="shared" si="13"/>
        <v>A</v>
      </c>
      <c r="U73" s="33">
        <f t="shared" si="7"/>
        <v>288544.032</v>
      </c>
      <c r="V73" s="13">
        <f t="shared" si="8"/>
        <v>0.265</v>
      </c>
      <c r="W73" s="34">
        <f t="shared" si="9"/>
        <v>-0.005</v>
      </c>
      <c r="X73" s="4">
        <f>IF(T73="S", B73*(1+'Input Fee and Elasticity Inputs'!$B$9), IF(T73="A", B73*(1+'Input Fee and Elasticity Inputs'!$B$10), IF(T73="B", B73*(1+'Input Fee and Elasticity Inputs'!$B$11), B73*(1+'Input Fee and Elasticity Inputs'!$B$12))))</f>
        <v>62198.4</v>
      </c>
      <c r="Y73" s="33">
        <f t="shared" si="10"/>
        <v>5.0085</v>
      </c>
      <c r="Z73" s="33">
        <f t="shared" si="11"/>
        <v>311520.6864</v>
      </c>
      <c r="AA73" s="33">
        <f t="shared" si="12"/>
        <v>22976.6544</v>
      </c>
    </row>
    <row r="74">
      <c r="A74" s="3" t="s">
        <v>82</v>
      </c>
      <c r="B74" s="4">
        <v>55752.0</v>
      </c>
      <c r="C74" s="5">
        <v>15.0</v>
      </c>
      <c r="D74" s="5">
        <v>27.0</v>
      </c>
      <c r="E74" s="6">
        <v>0.71</v>
      </c>
      <c r="F74" s="7">
        <v>17.1</v>
      </c>
      <c r="G74" s="6">
        <v>0.27</v>
      </c>
      <c r="H74" s="8">
        <v>0.0464</v>
      </c>
      <c r="I74" s="8">
        <v>0.011904403152</v>
      </c>
      <c r="J74" s="9">
        <v>13.0</v>
      </c>
      <c r="K74" s="29" t="str">
        <f t="shared" si="1"/>
        <v>SMB</v>
      </c>
      <c r="L74" s="30">
        <f t="shared" si="2"/>
        <v>4.617</v>
      </c>
      <c r="M74" s="31">
        <f>PERCENTRANK(B$2:B$201,B74)*'Input Resturant Brands Scoring '!$B$3</f>
        <v>22.33</v>
      </c>
      <c r="N74" s="32">
        <f>(1-PERCENTRANK(J$2:J$201,J74))*'Input Resturant Brands Scoring '!$B$5</f>
        <v>7.056</v>
      </c>
      <c r="O74" s="31">
        <f>(1-PERCENTRANK(I$2:I$201,I74))*'Input Resturant Brands Scoring '!$B$6</f>
        <v>11.28</v>
      </c>
      <c r="P74" s="31">
        <f t="shared" si="3"/>
        <v>18.336</v>
      </c>
      <c r="Q74" s="31">
        <f>PERCENTRANK(L$2:L$201,L74)*'Input Resturant Brands Scoring '!$B$7</f>
        <v>8.785</v>
      </c>
      <c r="R74" s="31">
        <f t="shared" si="4"/>
        <v>49.451</v>
      </c>
      <c r="S74" s="12">
        <f t="shared" si="5"/>
        <v>109</v>
      </c>
      <c r="T74" s="12" t="str">
        <f t="shared" si="13"/>
        <v>B</v>
      </c>
      <c r="U74" s="33">
        <f t="shared" si="7"/>
        <v>257406.984</v>
      </c>
      <c r="V74" s="13">
        <f t="shared" si="8"/>
        <v>0.29</v>
      </c>
      <c r="W74" s="34">
        <f t="shared" si="9"/>
        <v>0.02</v>
      </c>
      <c r="X74" s="4">
        <f>IF(T74="S", B74*(1+'Input Fee and Elasticity Inputs'!$B$9), IF(T74="A", B74*(1+'Input Fee and Elasticity Inputs'!$B$10), IF(T74="B", B74*(1+'Input Fee and Elasticity Inputs'!$B$11), B74*(1+'Input Fee and Elasticity Inputs'!$B$12))))</f>
        <v>52964.4</v>
      </c>
      <c r="Y74" s="33">
        <f t="shared" si="10"/>
        <v>4.959</v>
      </c>
      <c r="Z74" s="33">
        <f t="shared" si="11"/>
        <v>262650.4596</v>
      </c>
      <c r="AA74" s="33">
        <f t="shared" si="12"/>
        <v>5243.4756</v>
      </c>
    </row>
    <row r="75">
      <c r="A75" s="3" t="s">
        <v>83</v>
      </c>
      <c r="B75" s="4">
        <v>55692.0</v>
      </c>
      <c r="C75" s="5">
        <v>11.0</v>
      </c>
      <c r="D75" s="5">
        <v>17.0</v>
      </c>
      <c r="E75" s="6">
        <v>0.17</v>
      </c>
      <c r="F75" s="7">
        <v>32.7</v>
      </c>
      <c r="G75" s="6">
        <v>0.18</v>
      </c>
      <c r="H75" s="8">
        <v>0.0596</v>
      </c>
      <c r="I75" s="8">
        <v>0.012022407353999998</v>
      </c>
      <c r="J75" s="9">
        <v>5.0</v>
      </c>
      <c r="K75" s="29" t="str">
        <f t="shared" si="1"/>
        <v>SMB</v>
      </c>
      <c r="L75" s="30">
        <f t="shared" si="2"/>
        <v>5.886</v>
      </c>
      <c r="M75" s="31">
        <f>PERCENTRANK(B$2:B$201,B75)*'Input Resturant Brands Scoring '!$B$3</f>
        <v>22.155</v>
      </c>
      <c r="N75" s="32">
        <f>(1-PERCENTRANK(J$2:J$201,J75))*'Input Resturant Brands Scoring '!$B$5</f>
        <v>15.462</v>
      </c>
      <c r="O75" s="31">
        <f>(1-PERCENTRANK(I$2:I$201,I75))*'Input Resturant Brands Scoring '!$B$6</f>
        <v>11.22</v>
      </c>
      <c r="P75" s="31">
        <f t="shared" si="3"/>
        <v>26.682</v>
      </c>
      <c r="Q75" s="31">
        <f>PERCENTRANK(L$2:L$201,L75)*'Input Resturant Brands Scoring '!$B$7</f>
        <v>21.98</v>
      </c>
      <c r="R75" s="31">
        <f t="shared" si="4"/>
        <v>70.817</v>
      </c>
      <c r="S75" s="12">
        <f t="shared" si="5"/>
        <v>16</v>
      </c>
      <c r="T75" s="12" t="str">
        <f t="shared" si="13"/>
        <v>A</v>
      </c>
      <c r="U75" s="33">
        <f t="shared" si="7"/>
        <v>327803.112</v>
      </c>
      <c r="V75" s="13">
        <f t="shared" si="8"/>
        <v>0.175</v>
      </c>
      <c r="W75" s="34">
        <f t="shared" si="9"/>
        <v>-0.005</v>
      </c>
      <c r="X75" s="4">
        <f>IF(T75="S", B75*(1+'Input Fee and Elasticity Inputs'!$B$9), IF(T75="A", B75*(1+'Input Fee and Elasticity Inputs'!$B$10), IF(T75="B", B75*(1+'Input Fee and Elasticity Inputs'!$B$11), B75*(1+'Input Fee and Elasticity Inputs'!$B$12))))</f>
        <v>61261.2</v>
      </c>
      <c r="Y75" s="33">
        <f t="shared" si="10"/>
        <v>5.7225</v>
      </c>
      <c r="Z75" s="33">
        <f t="shared" si="11"/>
        <v>350567.217</v>
      </c>
      <c r="AA75" s="33">
        <f t="shared" si="12"/>
        <v>22764.105</v>
      </c>
    </row>
    <row r="76">
      <c r="A76" s="3" t="s">
        <v>84</v>
      </c>
      <c r="B76" s="4">
        <v>54948.0</v>
      </c>
      <c r="C76" s="5">
        <v>12.0</v>
      </c>
      <c r="D76" s="5">
        <v>42.0</v>
      </c>
      <c r="E76" s="6">
        <v>0.18</v>
      </c>
      <c r="F76" s="7">
        <v>17.0</v>
      </c>
      <c r="G76" s="6">
        <v>0.28</v>
      </c>
      <c r="H76" s="8">
        <v>0.0</v>
      </c>
      <c r="I76" s="8">
        <v>0.012907827168</v>
      </c>
      <c r="J76" s="9">
        <v>3.0</v>
      </c>
      <c r="K76" s="29" t="str">
        <f t="shared" si="1"/>
        <v>SMB</v>
      </c>
      <c r="L76" s="30">
        <f t="shared" si="2"/>
        <v>4.76</v>
      </c>
      <c r="M76" s="31">
        <f>PERCENTRANK(B$2:B$201,B76)*'Input Resturant Brands Scoring '!$B$3</f>
        <v>21.98</v>
      </c>
      <c r="N76" s="32">
        <f>(1-PERCENTRANK(J$2:J$201,J76))*'Input Resturant Brands Scoring '!$B$5</f>
        <v>18</v>
      </c>
      <c r="O76" s="31">
        <f>(1-PERCENTRANK(I$2:I$201,I76))*'Input Resturant Brands Scoring '!$B$6</f>
        <v>10.98</v>
      </c>
      <c r="P76" s="31">
        <f t="shared" si="3"/>
        <v>28.98</v>
      </c>
      <c r="Q76" s="31">
        <f>PERCENTRANK(L$2:L$201,L76)*'Input Resturant Brands Scoring '!$B$7</f>
        <v>10.57</v>
      </c>
      <c r="R76" s="31">
        <f t="shared" si="4"/>
        <v>61.53</v>
      </c>
      <c r="S76" s="12">
        <f t="shared" si="5"/>
        <v>49</v>
      </c>
      <c r="T76" s="12" t="str">
        <f t="shared" si="13"/>
        <v>A</v>
      </c>
      <c r="U76" s="33">
        <f t="shared" si="7"/>
        <v>261552.48</v>
      </c>
      <c r="V76" s="13">
        <f t="shared" si="8"/>
        <v>0.275</v>
      </c>
      <c r="W76" s="34">
        <f t="shared" si="9"/>
        <v>-0.005</v>
      </c>
      <c r="X76" s="4">
        <f>IF(T76="S", B76*(1+'Input Fee and Elasticity Inputs'!$B$9), IF(T76="A", B76*(1+'Input Fee and Elasticity Inputs'!$B$10), IF(T76="B", B76*(1+'Input Fee and Elasticity Inputs'!$B$11), B76*(1+'Input Fee and Elasticity Inputs'!$B$12))))</f>
        <v>60442.8</v>
      </c>
      <c r="Y76" s="33">
        <f t="shared" si="10"/>
        <v>4.675</v>
      </c>
      <c r="Z76" s="33">
        <f t="shared" si="11"/>
        <v>282570.09</v>
      </c>
      <c r="AA76" s="33">
        <f t="shared" si="12"/>
        <v>21017.61</v>
      </c>
    </row>
    <row r="77">
      <c r="A77" s="3" t="s">
        <v>85</v>
      </c>
      <c r="B77" s="4">
        <v>53436.0</v>
      </c>
      <c r="C77" s="5">
        <v>33.0</v>
      </c>
      <c r="D77" s="5">
        <v>37.0</v>
      </c>
      <c r="E77" s="6">
        <v>0.39</v>
      </c>
      <c r="F77" s="7">
        <v>16.3</v>
      </c>
      <c r="G77" s="6">
        <v>0.28</v>
      </c>
      <c r="H77" s="8">
        <v>0.036</v>
      </c>
      <c r="I77" s="8">
        <v>0.011468594736</v>
      </c>
      <c r="J77" s="9">
        <v>10.0</v>
      </c>
      <c r="K77" s="29" t="str">
        <f t="shared" si="1"/>
        <v>Enterprise</v>
      </c>
      <c r="L77" s="30">
        <f t="shared" si="2"/>
        <v>4.564</v>
      </c>
      <c r="M77" s="31">
        <f>PERCENTRANK(B$2:B$201,B77)*'Input Resturant Brands Scoring '!$B$3</f>
        <v>21.805</v>
      </c>
      <c r="N77" s="32">
        <f>(1-PERCENTRANK(J$2:J$201,J77))*'Input Resturant Brands Scoring '!$B$5</f>
        <v>9.054</v>
      </c>
      <c r="O77" s="31">
        <f>(1-PERCENTRANK(I$2:I$201,I77))*'Input Resturant Brands Scoring '!$B$6</f>
        <v>11.52</v>
      </c>
      <c r="P77" s="31">
        <f t="shared" si="3"/>
        <v>20.574</v>
      </c>
      <c r="Q77" s="31">
        <f>PERCENTRANK(L$2:L$201,L77)*'Input Resturant Brands Scoring '!$B$7</f>
        <v>8.26</v>
      </c>
      <c r="R77" s="31">
        <f t="shared" si="4"/>
        <v>50.639</v>
      </c>
      <c r="S77" s="12">
        <f t="shared" si="5"/>
        <v>101</v>
      </c>
      <c r="T77" s="12" t="str">
        <f t="shared" si="13"/>
        <v>B</v>
      </c>
      <c r="U77" s="33">
        <f t="shared" si="7"/>
        <v>243881.904</v>
      </c>
      <c r="V77" s="13">
        <f t="shared" si="8"/>
        <v>0.3</v>
      </c>
      <c r="W77" s="34">
        <f t="shared" si="9"/>
        <v>0.02</v>
      </c>
      <c r="X77" s="4">
        <f>IF(T77="S", B77*(1+'Input Fee and Elasticity Inputs'!$B$9), IF(T77="A", B77*(1+'Input Fee and Elasticity Inputs'!$B$10), IF(T77="B", B77*(1+'Input Fee and Elasticity Inputs'!$B$11), B77*(1+'Input Fee and Elasticity Inputs'!$B$12))))</f>
        <v>50764.2</v>
      </c>
      <c r="Y77" s="33">
        <f t="shared" si="10"/>
        <v>4.89</v>
      </c>
      <c r="Z77" s="33">
        <f t="shared" si="11"/>
        <v>248236.938</v>
      </c>
      <c r="AA77" s="33">
        <f t="shared" si="12"/>
        <v>4355.034</v>
      </c>
    </row>
    <row r="78">
      <c r="A78" s="3" t="s">
        <v>86</v>
      </c>
      <c r="B78" s="4">
        <v>52272.0</v>
      </c>
      <c r="C78" s="5">
        <v>12.0</v>
      </c>
      <c r="D78" s="5">
        <v>23.0</v>
      </c>
      <c r="E78" s="6">
        <v>0.86</v>
      </c>
      <c r="F78" s="7">
        <v>16.0</v>
      </c>
      <c r="G78" s="6">
        <v>0.3</v>
      </c>
      <c r="H78" s="8">
        <v>0.1344</v>
      </c>
      <c r="I78" s="8">
        <v>0.016060113666</v>
      </c>
      <c r="J78" s="9">
        <v>3.0</v>
      </c>
      <c r="K78" s="29" t="str">
        <f t="shared" si="1"/>
        <v>SMB</v>
      </c>
      <c r="L78" s="30">
        <f t="shared" si="2"/>
        <v>4.8</v>
      </c>
      <c r="M78" s="31">
        <f>PERCENTRANK(B$2:B$201,B78)*'Input Resturant Brands Scoring '!$B$3</f>
        <v>21.63</v>
      </c>
      <c r="N78" s="32">
        <f>(1-PERCENTRANK(J$2:J$201,J78))*'Input Resturant Brands Scoring '!$B$5</f>
        <v>18</v>
      </c>
      <c r="O78" s="31">
        <f>(1-PERCENTRANK(I$2:I$201,I78))*'Input Resturant Brands Scoring '!$B$6</f>
        <v>8.076</v>
      </c>
      <c r="P78" s="31">
        <f t="shared" si="3"/>
        <v>26.076</v>
      </c>
      <c r="Q78" s="31">
        <f>PERCENTRANK(L$2:L$201,L78)*'Input Resturant Brands Scoring '!$B$7</f>
        <v>10.745</v>
      </c>
      <c r="R78" s="31">
        <f t="shared" si="4"/>
        <v>58.451</v>
      </c>
      <c r="S78" s="12">
        <f t="shared" si="5"/>
        <v>59</v>
      </c>
      <c r="T78" s="12" t="str">
        <f t="shared" si="13"/>
        <v>B</v>
      </c>
      <c r="U78" s="33">
        <f t="shared" si="7"/>
        <v>250905.6</v>
      </c>
      <c r="V78" s="13">
        <f t="shared" si="8"/>
        <v>0.3</v>
      </c>
      <c r="W78" s="34">
        <f t="shared" si="9"/>
        <v>0</v>
      </c>
      <c r="X78" s="4">
        <f>IF(T78="S", B78*(1+'Input Fee and Elasticity Inputs'!$B$9), IF(T78="A", B78*(1+'Input Fee and Elasticity Inputs'!$B$10), IF(T78="B", B78*(1+'Input Fee and Elasticity Inputs'!$B$11), B78*(1+'Input Fee and Elasticity Inputs'!$B$12))))</f>
        <v>49658.4</v>
      </c>
      <c r="Y78" s="33">
        <f t="shared" si="10"/>
        <v>4.8</v>
      </c>
      <c r="Z78" s="33">
        <f t="shared" si="11"/>
        <v>238360.32</v>
      </c>
      <c r="AA78" s="33">
        <f t="shared" si="12"/>
        <v>-12545.28</v>
      </c>
    </row>
    <row r="79">
      <c r="A79" s="3" t="s">
        <v>87</v>
      </c>
      <c r="B79" s="4">
        <v>52212.0</v>
      </c>
      <c r="C79" s="5">
        <v>12.0</v>
      </c>
      <c r="D79" s="5">
        <v>15.0</v>
      </c>
      <c r="E79" s="6">
        <v>1.0</v>
      </c>
      <c r="F79" s="7">
        <v>17.2</v>
      </c>
      <c r="G79" s="6">
        <v>0.3</v>
      </c>
      <c r="H79" s="8">
        <v>0.0244</v>
      </c>
      <c r="I79" s="8">
        <v>0.023641150110000002</v>
      </c>
      <c r="J79" s="9">
        <v>13.0</v>
      </c>
      <c r="K79" s="29" t="str">
        <f t="shared" si="1"/>
        <v>SMB</v>
      </c>
      <c r="L79" s="30">
        <f t="shared" si="2"/>
        <v>5.16</v>
      </c>
      <c r="M79" s="31">
        <f>PERCENTRANK(B$2:B$201,B79)*'Input Resturant Brands Scoring '!$B$3</f>
        <v>21.455</v>
      </c>
      <c r="N79" s="32">
        <f>(1-PERCENTRANK(J$2:J$201,J79))*'Input Resturant Brands Scoring '!$B$5</f>
        <v>7.056</v>
      </c>
      <c r="O79" s="31">
        <f>(1-PERCENTRANK(I$2:I$201,I79))*'Input Resturant Brands Scoring '!$B$6</f>
        <v>3.312</v>
      </c>
      <c r="P79" s="31">
        <f t="shared" si="3"/>
        <v>10.368</v>
      </c>
      <c r="Q79" s="31">
        <f>PERCENTRANK(L$2:L$201,L79)*'Input Resturant Brands Scoring '!$B$7</f>
        <v>15.12</v>
      </c>
      <c r="R79" s="31">
        <f t="shared" si="4"/>
        <v>46.943</v>
      </c>
      <c r="S79" s="12">
        <f t="shared" si="5"/>
        <v>121</v>
      </c>
      <c r="T79" s="12" t="str">
        <f t="shared" si="13"/>
        <v>B</v>
      </c>
      <c r="U79" s="33">
        <f t="shared" si="7"/>
        <v>269413.92</v>
      </c>
      <c r="V79" s="13">
        <f t="shared" si="8"/>
        <v>0.3</v>
      </c>
      <c r="W79" s="34">
        <f t="shared" si="9"/>
        <v>0</v>
      </c>
      <c r="X79" s="4">
        <f>IF(T79="S", B79*(1+'Input Fee and Elasticity Inputs'!$B$9), IF(T79="A", B79*(1+'Input Fee and Elasticity Inputs'!$B$10), IF(T79="B", B79*(1+'Input Fee and Elasticity Inputs'!$B$11), B79*(1+'Input Fee and Elasticity Inputs'!$B$12))))</f>
        <v>49601.4</v>
      </c>
      <c r="Y79" s="33">
        <f t="shared" si="10"/>
        <v>5.16</v>
      </c>
      <c r="Z79" s="33">
        <f t="shared" si="11"/>
        <v>255943.224</v>
      </c>
      <c r="AA79" s="33">
        <f t="shared" si="12"/>
        <v>-13470.696</v>
      </c>
    </row>
    <row r="80">
      <c r="A80" s="3" t="s">
        <v>88</v>
      </c>
      <c r="B80" s="4">
        <v>51840.0</v>
      </c>
      <c r="C80" s="5">
        <v>14.0</v>
      </c>
      <c r="D80" s="5">
        <v>52.0</v>
      </c>
      <c r="E80" s="6">
        <v>0.77</v>
      </c>
      <c r="F80" s="7">
        <v>18.8</v>
      </c>
      <c r="G80" s="6">
        <v>0.24</v>
      </c>
      <c r="H80" s="8">
        <v>0.0644</v>
      </c>
      <c r="I80" s="8">
        <v>0.020626046256</v>
      </c>
      <c r="J80" s="9">
        <v>28.0</v>
      </c>
      <c r="K80" s="29" t="str">
        <f t="shared" si="1"/>
        <v>SMB</v>
      </c>
      <c r="L80" s="30">
        <f t="shared" si="2"/>
        <v>4.512</v>
      </c>
      <c r="M80" s="31">
        <f>PERCENTRANK(B$2:B$201,B80)*'Input Resturant Brands Scoring '!$B$3</f>
        <v>21.28</v>
      </c>
      <c r="N80" s="32">
        <f>(1-PERCENTRANK(J$2:J$201,J80))*'Input Resturant Brands Scoring '!$B$5</f>
        <v>1.62</v>
      </c>
      <c r="O80" s="31">
        <f>(1-PERCENTRANK(I$2:I$201,I80))*'Input Resturant Brands Scoring '!$B$6</f>
        <v>5.004</v>
      </c>
      <c r="P80" s="31">
        <f t="shared" si="3"/>
        <v>6.624</v>
      </c>
      <c r="Q80" s="31">
        <f>PERCENTRANK(L$2:L$201,L80)*'Input Resturant Brands Scoring '!$B$7</f>
        <v>7.735</v>
      </c>
      <c r="R80" s="31">
        <f t="shared" si="4"/>
        <v>35.639</v>
      </c>
      <c r="S80" s="12">
        <f t="shared" si="5"/>
        <v>164</v>
      </c>
      <c r="T80" s="12" t="str">
        <f t="shared" si="13"/>
        <v>C</v>
      </c>
      <c r="U80" s="33">
        <f t="shared" si="7"/>
        <v>233902.08</v>
      </c>
      <c r="V80" s="13">
        <f t="shared" si="8"/>
        <v>0.27</v>
      </c>
      <c r="W80" s="34">
        <f t="shared" si="9"/>
        <v>0.03</v>
      </c>
      <c r="X80" s="4">
        <f>IF(T80="S", B80*(1+'Input Fee and Elasticity Inputs'!$B$9), IF(T80="A", B80*(1+'Input Fee and Elasticity Inputs'!$B$10), IF(T80="B", B80*(1+'Input Fee and Elasticity Inputs'!$B$11), B80*(1+'Input Fee and Elasticity Inputs'!$B$12))))</f>
        <v>44064</v>
      </c>
      <c r="Y80" s="33">
        <f t="shared" si="10"/>
        <v>5.076</v>
      </c>
      <c r="Z80" s="33">
        <f t="shared" si="11"/>
        <v>223668.864</v>
      </c>
      <c r="AA80" s="33">
        <f t="shared" si="12"/>
        <v>-10233.216</v>
      </c>
    </row>
    <row r="81">
      <c r="A81" s="3" t="s">
        <v>89</v>
      </c>
      <c r="B81" s="4">
        <v>48972.0</v>
      </c>
      <c r="C81" s="5">
        <v>101.0</v>
      </c>
      <c r="D81" s="5">
        <v>673.0</v>
      </c>
      <c r="E81" s="6">
        <v>0.16</v>
      </c>
      <c r="F81" s="7">
        <v>17.3</v>
      </c>
      <c r="G81" s="6">
        <v>0.27</v>
      </c>
      <c r="H81" s="8">
        <v>0.0708</v>
      </c>
      <c r="I81" s="8">
        <v>0.014174439636</v>
      </c>
      <c r="J81" s="9">
        <v>8.0</v>
      </c>
      <c r="K81" s="29" t="str">
        <f t="shared" si="1"/>
        <v>Enterprise</v>
      </c>
      <c r="L81" s="30">
        <f t="shared" si="2"/>
        <v>4.671</v>
      </c>
      <c r="M81" s="31">
        <f>PERCENTRANK(B$2:B$201,B81)*'Input Resturant Brands Scoring '!$B$3</f>
        <v>21.105</v>
      </c>
      <c r="N81" s="32">
        <f>(1-PERCENTRANK(J$2:J$201,J81))*'Input Resturant Brands Scoring '!$B$5</f>
        <v>11.574</v>
      </c>
      <c r="O81" s="31">
        <f>(1-PERCENTRANK(I$2:I$201,I81))*'Input Resturant Brands Scoring '!$B$6</f>
        <v>9.648</v>
      </c>
      <c r="P81" s="31">
        <f t="shared" si="3"/>
        <v>21.222</v>
      </c>
      <c r="Q81" s="31">
        <f>PERCENTRANK(L$2:L$201,L81)*'Input Resturant Brands Scoring '!$B$7</f>
        <v>9.66</v>
      </c>
      <c r="R81" s="31">
        <f t="shared" si="4"/>
        <v>51.987</v>
      </c>
      <c r="S81" s="12">
        <f t="shared" si="5"/>
        <v>96</v>
      </c>
      <c r="T81" s="12" t="str">
        <f t="shared" si="13"/>
        <v>B</v>
      </c>
      <c r="U81" s="33">
        <f t="shared" si="7"/>
        <v>228748.212</v>
      </c>
      <c r="V81" s="13">
        <f t="shared" si="8"/>
        <v>0.29</v>
      </c>
      <c r="W81" s="34">
        <f t="shared" si="9"/>
        <v>0.02</v>
      </c>
      <c r="X81" s="4">
        <f>IF(T81="S", B81*(1+'Input Fee and Elasticity Inputs'!$B$9), IF(T81="A", B81*(1+'Input Fee and Elasticity Inputs'!$B$10), IF(T81="B", B81*(1+'Input Fee and Elasticity Inputs'!$B$11), B81*(1+'Input Fee and Elasticity Inputs'!$B$12))))</f>
        <v>46523.4</v>
      </c>
      <c r="Y81" s="33">
        <f t="shared" si="10"/>
        <v>5.017</v>
      </c>
      <c r="Z81" s="33">
        <f t="shared" si="11"/>
        <v>233407.8978</v>
      </c>
      <c r="AA81" s="33">
        <f t="shared" si="12"/>
        <v>4659.6858</v>
      </c>
    </row>
    <row r="82">
      <c r="A82" s="3" t="s">
        <v>90</v>
      </c>
      <c r="B82" s="4">
        <v>47208.0</v>
      </c>
      <c r="C82" s="5">
        <v>9.0</v>
      </c>
      <c r="D82" s="5">
        <v>11.0</v>
      </c>
      <c r="E82" s="6">
        <v>0.99</v>
      </c>
      <c r="F82" s="7">
        <v>18.6</v>
      </c>
      <c r="G82" s="6">
        <v>0.29</v>
      </c>
      <c r="H82" s="8">
        <v>0.0668</v>
      </c>
      <c r="I82" s="8">
        <v>0.02245320474</v>
      </c>
      <c r="J82" s="9">
        <v>3.0</v>
      </c>
      <c r="K82" s="29" t="str">
        <f t="shared" si="1"/>
        <v>SMB</v>
      </c>
      <c r="L82" s="30">
        <f t="shared" si="2"/>
        <v>5.394</v>
      </c>
      <c r="M82" s="31">
        <f>PERCENTRANK(B$2:B$201,B82)*'Input Resturant Brands Scoring '!$B$3</f>
        <v>20.93</v>
      </c>
      <c r="N82" s="32">
        <f>(1-PERCENTRANK(J$2:J$201,J82))*'Input Resturant Brands Scoring '!$B$5</f>
        <v>18</v>
      </c>
      <c r="O82" s="31">
        <f>(1-PERCENTRANK(I$2:I$201,I82))*'Input Resturant Brands Scoring '!$B$6</f>
        <v>4.164</v>
      </c>
      <c r="P82" s="31">
        <f t="shared" si="3"/>
        <v>22.164</v>
      </c>
      <c r="Q82" s="31">
        <f>PERCENTRANK(L$2:L$201,L82)*'Input Resturant Brands Scoring '!$B$7</f>
        <v>16.87</v>
      </c>
      <c r="R82" s="31">
        <f t="shared" si="4"/>
        <v>59.964</v>
      </c>
      <c r="S82" s="12">
        <f t="shared" si="5"/>
        <v>54</v>
      </c>
      <c r="T82" s="12" t="str">
        <f t="shared" si="13"/>
        <v>B</v>
      </c>
      <c r="U82" s="33">
        <f t="shared" si="7"/>
        <v>254639.952</v>
      </c>
      <c r="V82" s="13">
        <f t="shared" si="8"/>
        <v>0.3</v>
      </c>
      <c r="W82" s="34">
        <f t="shared" si="9"/>
        <v>0.01</v>
      </c>
      <c r="X82" s="4">
        <f>IF(T82="S", B82*(1+'Input Fee and Elasticity Inputs'!$B$9), IF(T82="A", B82*(1+'Input Fee and Elasticity Inputs'!$B$10), IF(T82="B", B82*(1+'Input Fee and Elasticity Inputs'!$B$11), B82*(1+'Input Fee and Elasticity Inputs'!$B$12))))</f>
        <v>44847.6</v>
      </c>
      <c r="Y82" s="33">
        <f t="shared" si="10"/>
        <v>5.58</v>
      </c>
      <c r="Z82" s="33">
        <f t="shared" si="11"/>
        <v>250249.608</v>
      </c>
      <c r="AA82" s="33">
        <f t="shared" si="12"/>
        <v>-4390.344</v>
      </c>
    </row>
    <row r="83">
      <c r="A83" s="3" t="s">
        <v>91</v>
      </c>
      <c r="B83" s="4">
        <v>46728.0</v>
      </c>
      <c r="C83" s="5">
        <v>29.0</v>
      </c>
      <c r="D83" s="5">
        <v>41.0</v>
      </c>
      <c r="E83" s="6">
        <v>0.08</v>
      </c>
      <c r="F83" s="7">
        <v>25.2</v>
      </c>
      <c r="G83" s="6">
        <v>0.3</v>
      </c>
      <c r="H83" s="8">
        <v>0.1172</v>
      </c>
      <c r="I83" s="8">
        <v>0.022276587546</v>
      </c>
      <c r="J83" s="9">
        <v>16.0</v>
      </c>
      <c r="K83" s="29" t="str">
        <f t="shared" si="1"/>
        <v>Enterprise</v>
      </c>
      <c r="L83" s="30">
        <f t="shared" si="2"/>
        <v>7.56</v>
      </c>
      <c r="M83" s="31">
        <f>PERCENTRANK(B$2:B$201,B83)*'Input Resturant Brands Scoring '!$B$3</f>
        <v>20.755</v>
      </c>
      <c r="N83" s="32">
        <f>(1-PERCENTRANK(J$2:J$201,J83))*'Input Resturant Brands Scoring '!$B$5</f>
        <v>5.148</v>
      </c>
      <c r="O83" s="31">
        <f>(1-PERCENTRANK(I$2:I$201,I83))*'Input Resturant Brands Scoring '!$B$6</f>
        <v>4.344</v>
      </c>
      <c r="P83" s="31">
        <f t="shared" si="3"/>
        <v>9.492</v>
      </c>
      <c r="Q83" s="31">
        <f>PERCENTRANK(L$2:L$201,L83)*'Input Resturant Brands Scoring '!$B$7</f>
        <v>31.675</v>
      </c>
      <c r="R83" s="31">
        <f t="shared" si="4"/>
        <v>61.922</v>
      </c>
      <c r="S83" s="12">
        <f t="shared" si="5"/>
        <v>48</v>
      </c>
      <c r="T83" s="12" t="str">
        <f t="shared" si="13"/>
        <v>A</v>
      </c>
      <c r="U83" s="33">
        <f t="shared" si="7"/>
        <v>353263.68</v>
      </c>
      <c r="V83" s="13">
        <f t="shared" si="8"/>
        <v>0.295</v>
      </c>
      <c r="W83" s="34">
        <f t="shared" si="9"/>
        <v>-0.005</v>
      </c>
      <c r="X83" s="4">
        <f>IF(T83="S", B83*(1+'Input Fee and Elasticity Inputs'!$B$9), IF(T83="A", B83*(1+'Input Fee and Elasticity Inputs'!$B$10), IF(T83="B", B83*(1+'Input Fee and Elasticity Inputs'!$B$11), B83*(1+'Input Fee and Elasticity Inputs'!$B$12))))</f>
        <v>51400.8</v>
      </c>
      <c r="Y83" s="33">
        <f t="shared" si="10"/>
        <v>7.434</v>
      </c>
      <c r="Z83" s="33">
        <f t="shared" si="11"/>
        <v>382113.5472</v>
      </c>
      <c r="AA83" s="33">
        <f t="shared" si="12"/>
        <v>28849.8672</v>
      </c>
    </row>
    <row r="84">
      <c r="A84" s="3" t="s">
        <v>92</v>
      </c>
      <c r="B84" s="4">
        <v>46440.0</v>
      </c>
      <c r="C84" s="5">
        <v>12.0</v>
      </c>
      <c r="D84" s="5">
        <v>63.0</v>
      </c>
      <c r="E84" s="6">
        <v>1.0</v>
      </c>
      <c r="F84" s="7">
        <v>23.6</v>
      </c>
      <c r="G84" s="6">
        <v>0.29</v>
      </c>
      <c r="H84" s="8">
        <v>0.142</v>
      </c>
      <c r="I84" s="8">
        <v>0.017853511428</v>
      </c>
      <c r="J84" s="9">
        <v>5.0</v>
      </c>
      <c r="K84" s="29" t="str">
        <f t="shared" si="1"/>
        <v>SMB</v>
      </c>
      <c r="L84" s="30">
        <f t="shared" si="2"/>
        <v>6.844</v>
      </c>
      <c r="M84" s="31">
        <f>PERCENTRANK(B$2:B$201,B84)*'Input Resturant Brands Scoring '!$B$3</f>
        <v>20.58</v>
      </c>
      <c r="N84" s="32">
        <f>(1-PERCENTRANK(J$2:J$201,J84))*'Input Resturant Brands Scoring '!$B$5</f>
        <v>15.462</v>
      </c>
      <c r="O84" s="31">
        <f>(1-PERCENTRANK(I$2:I$201,I84))*'Input Resturant Brands Scoring '!$B$6</f>
        <v>6.336</v>
      </c>
      <c r="P84" s="31">
        <f t="shared" si="3"/>
        <v>21.798</v>
      </c>
      <c r="Q84" s="31">
        <f>PERCENTRANK(L$2:L$201,L84)*'Input Resturant Brands Scoring '!$B$7</f>
        <v>28.14</v>
      </c>
      <c r="R84" s="31">
        <f t="shared" si="4"/>
        <v>70.518</v>
      </c>
      <c r="S84" s="12">
        <f t="shared" si="5"/>
        <v>18</v>
      </c>
      <c r="T84" s="12" t="str">
        <f t="shared" si="13"/>
        <v>A</v>
      </c>
      <c r="U84" s="33">
        <f t="shared" si="7"/>
        <v>317835.36</v>
      </c>
      <c r="V84" s="13">
        <f t="shared" si="8"/>
        <v>0.285</v>
      </c>
      <c r="W84" s="34">
        <f t="shared" si="9"/>
        <v>-0.005</v>
      </c>
      <c r="X84" s="4">
        <f>IF(T84="S", B84*(1+'Input Fee and Elasticity Inputs'!$B$9), IF(T84="A", B84*(1+'Input Fee and Elasticity Inputs'!$B$10), IF(T84="B", B84*(1+'Input Fee and Elasticity Inputs'!$B$11), B84*(1+'Input Fee and Elasticity Inputs'!$B$12))))</f>
        <v>51084</v>
      </c>
      <c r="Y84" s="33">
        <f t="shared" si="10"/>
        <v>6.726</v>
      </c>
      <c r="Z84" s="33">
        <f t="shared" si="11"/>
        <v>343590.984</v>
      </c>
      <c r="AA84" s="33">
        <f t="shared" si="12"/>
        <v>25755.624</v>
      </c>
    </row>
    <row r="85">
      <c r="A85" s="3" t="s">
        <v>93</v>
      </c>
      <c r="B85" s="4">
        <v>45864.0</v>
      </c>
      <c r="C85" s="5">
        <v>9.0</v>
      </c>
      <c r="D85" s="5">
        <v>41.0</v>
      </c>
      <c r="E85" s="6">
        <v>0.17</v>
      </c>
      <c r="F85" s="7">
        <v>23.6</v>
      </c>
      <c r="G85" s="6">
        <v>0.3</v>
      </c>
      <c r="H85" s="8">
        <v>0.1224</v>
      </c>
      <c r="I85" s="8">
        <v>0.016361072754</v>
      </c>
      <c r="J85" s="9">
        <v>15.0</v>
      </c>
      <c r="K85" s="29" t="str">
        <f t="shared" si="1"/>
        <v>SMB</v>
      </c>
      <c r="L85" s="30">
        <f t="shared" si="2"/>
        <v>7.08</v>
      </c>
      <c r="M85" s="31">
        <f>PERCENTRANK(B$2:B$201,B85)*'Input Resturant Brands Scoring '!$B$3</f>
        <v>20.405</v>
      </c>
      <c r="N85" s="32">
        <f>(1-PERCENTRANK(J$2:J$201,J85))*'Input Resturant Brands Scoring '!$B$5</f>
        <v>5.436</v>
      </c>
      <c r="O85" s="31">
        <f>(1-PERCENTRANK(I$2:I$201,I85))*'Input Resturant Brands Scoring '!$B$6</f>
        <v>7.536</v>
      </c>
      <c r="P85" s="31">
        <f t="shared" si="3"/>
        <v>12.972</v>
      </c>
      <c r="Q85" s="31">
        <f>PERCENTRANK(L$2:L$201,L85)*'Input Resturant Brands Scoring '!$B$7</f>
        <v>29.015</v>
      </c>
      <c r="R85" s="31">
        <f t="shared" si="4"/>
        <v>62.392</v>
      </c>
      <c r="S85" s="12">
        <f t="shared" si="5"/>
        <v>47</v>
      </c>
      <c r="T85" s="12" t="str">
        <f t="shared" si="13"/>
        <v>A</v>
      </c>
      <c r="U85" s="33">
        <f t="shared" si="7"/>
        <v>324717.12</v>
      </c>
      <c r="V85" s="13">
        <f t="shared" si="8"/>
        <v>0.295</v>
      </c>
      <c r="W85" s="34">
        <f t="shared" si="9"/>
        <v>-0.005</v>
      </c>
      <c r="X85" s="4">
        <f>IF(T85="S", B85*(1+'Input Fee and Elasticity Inputs'!$B$9), IF(T85="A", B85*(1+'Input Fee and Elasticity Inputs'!$B$10), IF(T85="B", B85*(1+'Input Fee and Elasticity Inputs'!$B$11), B85*(1+'Input Fee and Elasticity Inputs'!$B$12))))</f>
        <v>50450.4</v>
      </c>
      <c r="Y85" s="33">
        <f t="shared" si="10"/>
        <v>6.962</v>
      </c>
      <c r="Z85" s="33">
        <f t="shared" si="11"/>
        <v>351235.6848</v>
      </c>
      <c r="AA85" s="33">
        <f t="shared" si="12"/>
        <v>26518.5648</v>
      </c>
    </row>
    <row r="86">
      <c r="A86" s="3" t="s">
        <v>94</v>
      </c>
      <c r="B86" s="4">
        <v>44988.0</v>
      </c>
      <c r="C86" s="5">
        <v>15.0</v>
      </c>
      <c r="D86" s="5">
        <v>29.0</v>
      </c>
      <c r="E86" s="6">
        <v>0.81</v>
      </c>
      <c r="F86" s="7">
        <v>25.6</v>
      </c>
      <c r="G86" s="6">
        <v>0.3</v>
      </c>
      <c r="H86" s="8">
        <v>0.0396</v>
      </c>
      <c r="I86" s="8">
        <v>0.014802107291999999</v>
      </c>
      <c r="J86" s="9">
        <v>8.0</v>
      </c>
      <c r="K86" s="29" t="str">
        <f t="shared" si="1"/>
        <v>SMB</v>
      </c>
      <c r="L86" s="30">
        <f t="shared" si="2"/>
        <v>7.68</v>
      </c>
      <c r="M86" s="31">
        <f>PERCENTRANK(B$2:B$201,B86)*'Input Resturant Brands Scoring '!$B$3</f>
        <v>20.23</v>
      </c>
      <c r="N86" s="32">
        <f>(1-PERCENTRANK(J$2:J$201,J86))*'Input Resturant Brands Scoring '!$B$5</f>
        <v>11.574</v>
      </c>
      <c r="O86" s="31">
        <f>(1-PERCENTRANK(I$2:I$201,I86))*'Input Resturant Brands Scoring '!$B$6</f>
        <v>8.868</v>
      </c>
      <c r="P86" s="31">
        <f t="shared" si="3"/>
        <v>20.442</v>
      </c>
      <c r="Q86" s="31">
        <f>PERCENTRANK(L$2:L$201,L86)*'Input Resturant Brands Scoring '!$B$7</f>
        <v>32.025</v>
      </c>
      <c r="R86" s="31">
        <f t="shared" si="4"/>
        <v>72.697</v>
      </c>
      <c r="S86" s="12">
        <f t="shared" si="5"/>
        <v>11</v>
      </c>
      <c r="T86" s="12" t="str">
        <f t="shared" si="13"/>
        <v>A</v>
      </c>
      <c r="U86" s="33">
        <f t="shared" si="7"/>
        <v>345507.84</v>
      </c>
      <c r="V86" s="13">
        <f t="shared" si="8"/>
        <v>0.295</v>
      </c>
      <c r="W86" s="34">
        <f t="shared" si="9"/>
        <v>-0.005</v>
      </c>
      <c r="X86" s="4">
        <f>IF(T86="S", B86*(1+'Input Fee and Elasticity Inputs'!$B$9), IF(T86="A", B86*(1+'Input Fee and Elasticity Inputs'!$B$10), IF(T86="B", B86*(1+'Input Fee and Elasticity Inputs'!$B$11), B86*(1+'Input Fee and Elasticity Inputs'!$B$12))))</f>
        <v>49486.8</v>
      </c>
      <c r="Y86" s="33">
        <f t="shared" si="10"/>
        <v>7.552</v>
      </c>
      <c r="Z86" s="33">
        <f t="shared" si="11"/>
        <v>373724.3136</v>
      </c>
      <c r="AA86" s="33">
        <f t="shared" si="12"/>
        <v>28216.4736</v>
      </c>
    </row>
    <row r="87">
      <c r="A87" s="3" t="s">
        <v>95</v>
      </c>
      <c r="B87" s="4">
        <v>44352.0</v>
      </c>
      <c r="C87" s="5">
        <v>9.0</v>
      </c>
      <c r="D87" s="5">
        <v>50.0</v>
      </c>
      <c r="E87" s="6">
        <v>0.87</v>
      </c>
      <c r="F87" s="7">
        <v>13.4</v>
      </c>
      <c r="G87" s="6">
        <v>0.29</v>
      </c>
      <c r="H87" s="8">
        <v>0.0764</v>
      </c>
      <c r="I87" s="8">
        <v>0.016335971514</v>
      </c>
      <c r="J87" s="9">
        <v>26.0</v>
      </c>
      <c r="K87" s="29" t="str">
        <f t="shared" si="1"/>
        <v>SMB</v>
      </c>
      <c r="L87" s="30">
        <f t="shared" si="2"/>
        <v>3.886</v>
      </c>
      <c r="M87" s="31">
        <f>PERCENTRANK(B$2:B$201,B87)*'Input Resturant Brands Scoring '!$B$3</f>
        <v>20.055</v>
      </c>
      <c r="N87" s="32">
        <f>(1-PERCENTRANK(J$2:J$201,J87))*'Input Resturant Brands Scoring '!$B$5</f>
        <v>1.998</v>
      </c>
      <c r="O87" s="31">
        <f>(1-PERCENTRANK(I$2:I$201,I87))*'Input Resturant Brands Scoring '!$B$6</f>
        <v>7.596</v>
      </c>
      <c r="P87" s="31">
        <f t="shared" si="3"/>
        <v>9.594</v>
      </c>
      <c r="Q87" s="31">
        <f>PERCENTRANK(L$2:L$201,L87)*'Input Resturant Brands Scoring '!$B$7</f>
        <v>3.15</v>
      </c>
      <c r="R87" s="31">
        <f t="shared" si="4"/>
        <v>32.799</v>
      </c>
      <c r="S87" s="12">
        <f t="shared" si="5"/>
        <v>176</v>
      </c>
      <c r="T87" s="12" t="str">
        <f t="shared" si="13"/>
        <v>C</v>
      </c>
      <c r="U87" s="33">
        <f t="shared" si="7"/>
        <v>172351.872</v>
      </c>
      <c r="V87" s="13">
        <f t="shared" si="8"/>
        <v>0.3</v>
      </c>
      <c r="W87" s="34">
        <f t="shared" si="9"/>
        <v>0.01</v>
      </c>
      <c r="X87" s="4">
        <f>IF(T87="S", B87*(1+'Input Fee and Elasticity Inputs'!$B$9), IF(T87="A", B87*(1+'Input Fee and Elasticity Inputs'!$B$10), IF(T87="B", B87*(1+'Input Fee and Elasticity Inputs'!$B$11), B87*(1+'Input Fee and Elasticity Inputs'!$B$12))))</f>
        <v>37699.2</v>
      </c>
      <c r="Y87" s="33">
        <f t="shared" si="10"/>
        <v>4.02</v>
      </c>
      <c r="Z87" s="33">
        <f t="shared" si="11"/>
        <v>151550.784</v>
      </c>
      <c r="AA87" s="33">
        <f t="shared" si="12"/>
        <v>-20801.088</v>
      </c>
    </row>
    <row r="88">
      <c r="A88" s="3" t="s">
        <v>96</v>
      </c>
      <c r="B88" s="4">
        <v>44304.0</v>
      </c>
      <c r="C88" s="5">
        <v>9.0</v>
      </c>
      <c r="D88" s="5">
        <v>14.0</v>
      </c>
      <c r="E88" s="6">
        <v>0.38</v>
      </c>
      <c r="F88" s="7">
        <v>18.5</v>
      </c>
      <c r="G88" s="6">
        <v>0.29</v>
      </c>
      <c r="H88" s="8">
        <v>0.052</v>
      </c>
      <c r="I88" s="8">
        <v>0.014142829842</v>
      </c>
      <c r="J88" s="9">
        <v>8.0</v>
      </c>
      <c r="K88" s="29" t="str">
        <f t="shared" si="1"/>
        <v>SMB</v>
      </c>
      <c r="L88" s="30">
        <f t="shared" si="2"/>
        <v>5.365</v>
      </c>
      <c r="M88" s="31">
        <f>PERCENTRANK(B$2:B$201,B88)*'Input Resturant Brands Scoring '!$B$3</f>
        <v>19.88</v>
      </c>
      <c r="N88" s="32">
        <f>(1-PERCENTRANK(J$2:J$201,J88))*'Input Resturant Brands Scoring '!$B$5</f>
        <v>11.574</v>
      </c>
      <c r="O88" s="31">
        <f>(1-PERCENTRANK(I$2:I$201,I88))*'Input Resturant Brands Scoring '!$B$6</f>
        <v>9.888</v>
      </c>
      <c r="P88" s="31">
        <f t="shared" si="3"/>
        <v>21.462</v>
      </c>
      <c r="Q88" s="31">
        <f>PERCENTRANK(L$2:L$201,L88)*'Input Resturant Brands Scoring '!$B$7</f>
        <v>16.52</v>
      </c>
      <c r="R88" s="31">
        <f t="shared" si="4"/>
        <v>57.862</v>
      </c>
      <c r="S88" s="12">
        <f t="shared" si="5"/>
        <v>62</v>
      </c>
      <c r="T88" s="12" t="str">
        <f t="shared" si="13"/>
        <v>B</v>
      </c>
      <c r="U88" s="33">
        <f t="shared" si="7"/>
        <v>237690.96</v>
      </c>
      <c r="V88" s="13">
        <f t="shared" si="8"/>
        <v>0.3</v>
      </c>
      <c r="W88" s="34">
        <f t="shared" si="9"/>
        <v>0.01</v>
      </c>
      <c r="X88" s="4">
        <f>IF(T88="S", B88*(1+'Input Fee and Elasticity Inputs'!$B$9), IF(T88="A", B88*(1+'Input Fee and Elasticity Inputs'!$B$10), IF(T88="B", B88*(1+'Input Fee and Elasticity Inputs'!$B$11), B88*(1+'Input Fee and Elasticity Inputs'!$B$12))))</f>
        <v>42088.8</v>
      </c>
      <c r="Y88" s="33">
        <f t="shared" si="10"/>
        <v>5.55</v>
      </c>
      <c r="Z88" s="33">
        <f t="shared" si="11"/>
        <v>233592.84</v>
      </c>
      <c r="AA88" s="33">
        <f t="shared" si="12"/>
        <v>-4098.12</v>
      </c>
    </row>
    <row r="89">
      <c r="A89" s="3" t="s">
        <v>97</v>
      </c>
      <c r="B89" s="4">
        <v>44016.0</v>
      </c>
      <c r="C89" s="5">
        <v>9.0</v>
      </c>
      <c r="D89" s="5">
        <v>13.0</v>
      </c>
      <c r="E89" s="6">
        <v>0.3</v>
      </c>
      <c r="F89" s="7">
        <v>13.1</v>
      </c>
      <c r="G89" s="6">
        <v>0.3</v>
      </c>
      <c r="H89" s="8">
        <v>0.0312</v>
      </c>
      <c r="I89" s="8">
        <v>0.015159368453999999</v>
      </c>
      <c r="J89" s="9">
        <v>8.0</v>
      </c>
      <c r="K89" s="29" t="str">
        <f t="shared" si="1"/>
        <v>SMB</v>
      </c>
      <c r="L89" s="30">
        <f t="shared" si="2"/>
        <v>3.93</v>
      </c>
      <c r="M89" s="31">
        <f>PERCENTRANK(B$2:B$201,B89)*'Input Resturant Brands Scoring '!$B$3</f>
        <v>19.705</v>
      </c>
      <c r="N89" s="32">
        <f>(1-PERCENTRANK(J$2:J$201,J89))*'Input Resturant Brands Scoring '!$B$5</f>
        <v>11.574</v>
      </c>
      <c r="O89" s="31">
        <f>(1-PERCENTRANK(I$2:I$201,I89))*'Input Resturant Brands Scoring '!$B$6</f>
        <v>8.448</v>
      </c>
      <c r="P89" s="31">
        <f t="shared" si="3"/>
        <v>20.022</v>
      </c>
      <c r="Q89" s="31">
        <f>PERCENTRANK(L$2:L$201,L89)*'Input Resturant Brands Scoring '!$B$7</f>
        <v>3.325</v>
      </c>
      <c r="R89" s="31">
        <f t="shared" si="4"/>
        <v>43.052</v>
      </c>
      <c r="S89" s="12">
        <f t="shared" si="5"/>
        <v>139</v>
      </c>
      <c r="T89" s="12" t="str">
        <f t="shared" si="13"/>
        <v>B</v>
      </c>
      <c r="U89" s="33">
        <f t="shared" si="7"/>
        <v>172982.88</v>
      </c>
      <c r="V89" s="13">
        <f t="shared" si="8"/>
        <v>0.3</v>
      </c>
      <c r="W89" s="34">
        <f t="shared" si="9"/>
        <v>0</v>
      </c>
      <c r="X89" s="4">
        <f>IF(T89="S", B89*(1+'Input Fee and Elasticity Inputs'!$B$9), IF(T89="A", B89*(1+'Input Fee and Elasticity Inputs'!$B$10), IF(T89="B", B89*(1+'Input Fee and Elasticity Inputs'!$B$11), B89*(1+'Input Fee and Elasticity Inputs'!$B$12))))</f>
        <v>41815.2</v>
      </c>
      <c r="Y89" s="33">
        <f t="shared" si="10"/>
        <v>3.93</v>
      </c>
      <c r="Z89" s="33">
        <f t="shared" si="11"/>
        <v>164333.736</v>
      </c>
      <c r="AA89" s="33">
        <f t="shared" si="12"/>
        <v>-8649.144</v>
      </c>
    </row>
    <row r="90">
      <c r="A90" s="3" t="s">
        <v>98</v>
      </c>
      <c r="B90" s="4">
        <v>43524.0</v>
      </c>
      <c r="C90" s="5">
        <v>18.0</v>
      </c>
      <c r="D90" s="5">
        <v>27.0</v>
      </c>
      <c r="E90" s="6">
        <v>0.64</v>
      </c>
      <c r="F90" s="7">
        <v>28.0</v>
      </c>
      <c r="G90" s="6">
        <v>0.25</v>
      </c>
      <c r="H90" s="8">
        <v>0.07</v>
      </c>
      <c r="I90" s="8">
        <v>0.026170939422</v>
      </c>
      <c r="J90" s="9">
        <v>37.0</v>
      </c>
      <c r="K90" s="29" t="str">
        <f t="shared" si="1"/>
        <v>SMB</v>
      </c>
      <c r="L90" s="30">
        <f t="shared" si="2"/>
        <v>7</v>
      </c>
      <c r="M90" s="31">
        <f>PERCENTRANK(B$2:B$201,B90)*'Input Resturant Brands Scoring '!$B$3</f>
        <v>19.53</v>
      </c>
      <c r="N90" s="32">
        <f>(1-PERCENTRANK(J$2:J$201,J90))*'Input Resturant Brands Scoring '!$B$5</f>
        <v>0.81</v>
      </c>
      <c r="O90" s="31">
        <f>(1-PERCENTRANK(I$2:I$201,I90))*'Input Resturant Brands Scoring '!$B$6</f>
        <v>2.172</v>
      </c>
      <c r="P90" s="31">
        <f t="shared" si="3"/>
        <v>2.982</v>
      </c>
      <c r="Q90" s="31">
        <f>PERCENTRANK(L$2:L$201,L90)*'Input Resturant Brands Scoring '!$B$7</f>
        <v>28.49</v>
      </c>
      <c r="R90" s="31">
        <f t="shared" si="4"/>
        <v>51.002</v>
      </c>
      <c r="S90" s="12">
        <f t="shared" si="5"/>
        <v>99</v>
      </c>
      <c r="T90" s="12" t="str">
        <f t="shared" si="13"/>
        <v>B</v>
      </c>
      <c r="U90" s="33">
        <f t="shared" si="7"/>
        <v>304668</v>
      </c>
      <c r="V90" s="13">
        <f t="shared" si="8"/>
        <v>0.27</v>
      </c>
      <c r="W90" s="34">
        <f t="shared" si="9"/>
        <v>0.02</v>
      </c>
      <c r="X90" s="4">
        <f>IF(T90="S", B90*(1+'Input Fee and Elasticity Inputs'!$B$9), IF(T90="A", B90*(1+'Input Fee and Elasticity Inputs'!$B$10), IF(T90="B", B90*(1+'Input Fee and Elasticity Inputs'!$B$11), B90*(1+'Input Fee and Elasticity Inputs'!$B$12))))</f>
        <v>41347.8</v>
      </c>
      <c r="Y90" s="33">
        <f t="shared" si="10"/>
        <v>7.56</v>
      </c>
      <c r="Z90" s="33">
        <f t="shared" si="11"/>
        <v>312589.368</v>
      </c>
      <c r="AA90" s="33">
        <f t="shared" si="12"/>
        <v>7921.368</v>
      </c>
    </row>
    <row r="91">
      <c r="A91" s="3" t="s">
        <v>99</v>
      </c>
      <c r="B91" s="4">
        <v>43452.0</v>
      </c>
      <c r="C91" s="5">
        <v>76.0</v>
      </c>
      <c r="D91" s="5">
        <v>149.0</v>
      </c>
      <c r="E91" s="6">
        <v>0.51</v>
      </c>
      <c r="F91" s="7">
        <v>26.3</v>
      </c>
      <c r="G91" s="6">
        <v>0.27</v>
      </c>
      <c r="H91" s="8">
        <v>0.0524</v>
      </c>
      <c r="I91" s="8">
        <v>0.015129478476</v>
      </c>
      <c r="J91" s="9">
        <v>8.0</v>
      </c>
      <c r="K91" s="29" t="str">
        <f t="shared" si="1"/>
        <v>Enterprise</v>
      </c>
      <c r="L91" s="30">
        <f t="shared" si="2"/>
        <v>7.101</v>
      </c>
      <c r="M91" s="31">
        <f>PERCENTRANK(B$2:B$201,B91)*'Input Resturant Brands Scoring '!$B$3</f>
        <v>19.355</v>
      </c>
      <c r="N91" s="32">
        <f>(1-PERCENTRANK(J$2:J$201,J91))*'Input Resturant Brands Scoring '!$B$5</f>
        <v>11.574</v>
      </c>
      <c r="O91" s="31">
        <f>(1-PERCENTRANK(I$2:I$201,I91))*'Input Resturant Brands Scoring '!$B$6</f>
        <v>8.508</v>
      </c>
      <c r="P91" s="31">
        <f t="shared" si="3"/>
        <v>20.082</v>
      </c>
      <c r="Q91" s="31">
        <f>PERCENTRANK(L$2:L$201,L91)*'Input Resturant Brands Scoring '!$B$7</f>
        <v>29.19</v>
      </c>
      <c r="R91" s="31">
        <f t="shared" si="4"/>
        <v>68.627</v>
      </c>
      <c r="S91" s="12">
        <f t="shared" si="5"/>
        <v>25</v>
      </c>
      <c r="T91" s="12" t="str">
        <f t="shared" si="13"/>
        <v>A</v>
      </c>
      <c r="U91" s="33">
        <f t="shared" si="7"/>
        <v>308552.652</v>
      </c>
      <c r="V91" s="13">
        <f t="shared" si="8"/>
        <v>0.265</v>
      </c>
      <c r="W91" s="34">
        <f t="shared" si="9"/>
        <v>-0.005</v>
      </c>
      <c r="X91" s="4">
        <f>IF(T91="S", B91*(1+'Input Fee and Elasticity Inputs'!$B$9), IF(T91="A", B91*(1+'Input Fee and Elasticity Inputs'!$B$10), IF(T91="B", B91*(1+'Input Fee and Elasticity Inputs'!$B$11), B91*(1+'Input Fee and Elasticity Inputs'!$B$12))))</f>
        <v>47797.2</v>
      </c>
      <c r="Y91" s="33">
        <f t="shared" si="10"/>
        <v>6.9695</v>
      </c>
      <c r="Z91" s="33">
        <f t="shared" si="11"/>
        <v>333122.5854</v>
      </c>
      <c r="AA91" s="33">
        <f t="shared" si="12"/>
        <v>24569.9334</v>
      </c>
    </row>
    <row r="92">
      <c r="A92" s="3" t="s">
        <v>100</v>
      </c>
      <c r="B92" s="4">
        <v>43200.0</v>
      </c>
      <c r="C92" s="5">
        <v>12.0</v>
      </c>
      <c r="D92" s="5">
        <v>16.0</v>
      </c>
      <c r="E92" s="6">
        <v>0.46</v>
      </c>
      <c r="F92" s="7">
        <v>23.1</v>
      </c>
      <c r="G92" s="6">
        <v>0.22</v>
      </c>
      <c r="H92" s="8">
        <v>0.1156</v>
      </c>
      <c r="I92" s="8">
        <v>0.02797336671</v>
      </c>
      <c r="J92" s="9">
        <v>8.0</v>
      </c>
      <c r="K92" s="29" t="str">
        <f t="shared" si="1"/>
        <v>SMB</v>
      </c>
      <c r="L92" s="30">
        <f t="shared" si="2"/>
        <v>5.082</v>
      </c>
      <c r="M92" s="31">
        <f>PERCENTRANK(B$2:B$201,B92)*'Input Resturant Brands Scoring '!$B$3</f>
        <v>19.18</v>
      </c>
      <c r="N92" s="32">
        <f>(1-PERCENTRANK(J$2:J$201,J92))*'Input Resturant Brands Scoring '!$B$5</f>
        <v>11.574</v>
      </c>
      <c r="O92" s="31">
        <f>(1-PERCENTRANK(I$2:I$201,I92))*'Input Resturant Brands Scoring '!$B$6</f>
        <v>1.572</v>
      </c>
      <c r="P92" s="31">
        <f t="shared" si="3"/>
        <v>13.146</v>
      </c>
      <c r="Q92" s="31">
        <f>PERCENTRANK(L$2:L$201,L92)*'Input Resturant Brands Scoring '!$B$7</f>
        <v>13.195</v>
      </c>
      <c r="R92" s="31">
        <f t="shared" si="4"/>
        <v>45.521</v>
      </c>
      <c r="S92" s="12">
        <f t="shared" si="5"/>
        <v>132</v>
      </c>
      <c r="T92" s="12" t="str">
        <f t="shared" si="13"/>
        <v>B</v>
      </c>
      <c r="U92" s="33">
        <f t="shared" si="7"/>
        <v>219542.4</v>
      </c>
      <c r="V92" s="13">
        <f t="shared" si="8"/>
        <v>0.24</v>
      </c>
      <c r="W92" s="34">
        <f t="shared" si="9"/>
        <v>0.02</v>
      </c>
      <c r="X92" s="4">
        <f>IF(T92="S", B92*(1+'Input Fee and Elasticity Inputs'!$B$9), IF(T92="A", B92*(1+'Input Fee and Elasticity Inputs'!$B$10), IF(T92="B", B92*(1+'Input Fee and Elasticity Inputs'!$B$11), B92*(1+'Input Fee and Elasticity Inputs'!$B$12))))</f>
        <v>41040</v>
      </c>
      <c r="Y92" s="33">
        <f t="shared" si="10"/>
        <v>5.544</v>
      </c>
      <c r="Z92" s="33">
        <f t="shared" si="11"/>
        <v>227525.76</v>
      </c>
      <c r="AA92" s="33">
        <f t="shared" si="12"/>
        <v>7983.36</v>
      </c>
    </row>
    <row r="93">
      <c r="A93" s="3" t="s">
        <v>101</v>
      </c>
      <c r="B93" s="4">
        <v>42900.0</v>
      </c>
      <c r="C93" s="5">
        <v>9.0</v>
      </c>
      <c r="D93" s="5">
        <v>60.0</v>
      </c>
      <c r="E93" s="6">
        <v>0.22</v>
      </c>
      <c r="F93" s="7">
        <v>18.8</v>
      </c>
      <c r="G93" s="6">
        <v>0.27</v>
      </c>
      <c r="H93" s="8">
        <v>0.016</v>
      </c>
      <c r="I93" s="8">
        <v>0.01879050591</v>
      </c>
      <c r="J93" s="9">
        <v>7.0</v>
      </c>
      <c r="K93" s="29" t="str">
        <f t="shared" si="1"/>
        <v>SMB</v>
      </c>
      <c r="L93" s="30">
        <f t="shared" si="2"/>
        <v>5.076</v>
      </c>
      <c r="M93" s="31">
        <f>PERCENTRANK(B$2:B$201,B93)*'Input Resturant Brands Scoring '!$B$3</f>
        <v>19.005</v>
      </c>
      <c r="N93" s="32">
        <f>(1-PERCENTRANK(J$2:J$201,J93))*'Input Resturant Brands Scoring '!$B$5</f>
        <v>12.204</v>
      </c>
      <c r="O93" s="31">
        <f>(1-PERCENTRANK(I$2:I$201,I93))*'Input Resturant Brands Scoring '!$B$6</f>
        <v>5.844</v>
      </c>
      <c r="P93" s="31">
        <f t="shared" si="3"/>
        <v>18.048</v>
      </c>
      <c r="Q93" s="31">
        <f>PERCENTRANK(L$2:L$201,L93)*'Input Resturant Brands Scoring '!$B$7</f>
        <v>13.02</v>
      </c>
      <c r="R93" s="31">
        <f t="shared" si="4"/>
        <v>50.073</v>
      </c>
      <c r="S93" s="12">
        <f t="shared" si="5"/>
        <v>106</v>
      </c>
      <c r="T93" s="12" t="str">
        <f t="shared" si="13"/>
        <v>B</v>
      </c>
      <c r="U93" s="33">
        <f t="shared" si="7"/>
        <v>217760.4</v>
      </c>
      <c r="V93" s="13">
        <f t="shared" si="8"/>
        <v>0.29</v>
      </c>
      <c r="W93" s="34">
        <f t="shared" si="9"/>
        <v>0.02</v>
      </c>
      <c r="X93" s="4">
        <f>IF(T93="S", B93*(1+'Input Fee and Elasticity Inputs'!$B$9), IF(T93="A", B93*(1+'Input Fee and Elasticity Inputs'!$B$10), IF(T93="B", B93*(1+'Input Fee and Elasticity Inputs'!$B$11), B93*(1+'Input Fee and Elasticity Inputs'!$B$12))))</f>
        <v>40755</v>
      </c>
      <c r="Y93" s="33">
        <f t="shared" si="10"/>
        <v>5.452</v>
      </c>
      <c r="Z93" s="33">
        <f t="shared" si="11"/>
        <v>222196.26</v>
      </c>
      <c r="AA93" s="33">
        <f t="shared" si="12"/>
        <v>4435.86</v>
      </c>
    </row>
    <row r="94">
      <c r="A94" s="3" t="s">
        <v>102</v>
      </c>
      <c r="B94" s="4">
        <v>42780.0</v>
      </c>
      <c r="C94" s="5">
        <v>17.0</v>
      </c>
      <c r="D94" s="5">
        <v>41.0</v>
      </c>
      <c r="E94" s="6">
        <v>0.46</v>
      </c>
      <c r="F94" s="7">
        <v>23.5</v>
      </c>
      <c r="G94" s="6">
        <v>0.3</v>
      </c>
      <c r="H94" s="8">
        <v>0.0388</v>
      </c>
      <c r="I94" s="8">
        <v>0.026138084058</v>
      </c>
      <c r="J94" s="9">
        <v>10.0</v>
      </c>
      <c r="K94" s="29" t="str">
        <f t="shared" si="1"/>
        <v>SMB</v>
      </c>
      <c r="L94" s="30">
        <f t="shared" si="2"/>
        <v>7.05</v>
      </c>
      <c r="M94" s="31">
        <f>PERCENTRANK(B$2:B$201,B94)*'Input Resturant Brands Scoring '!$B$3</f>
        <v>18.83</v>
      </c>
      <c r="N94" s="32">
        <f>(1-PERCENTRANK(J$2:J$201,J94))*'Input Resturant Brands Scoring '!$B$5</f>
        <v>9.054</v>
      </c>
      <c r="O94" s="31">
        <f>(1-PERCENTRANK(I$2:I$201,I94))*'Input Resturant Brands Scoring '!$B$6</f>
        <v>2.232</v>
      </c>
      <c r="P94" s="31">
        <f t="shared" si="3"/>
        <v>11.286</v>
      </c>
      <c r="Q94" s="31">
        <f>PERCENTRANK(L$2:L$201,L94)*'Input Resturant Brands Scoring '!$B$7</f>
        <v>28.84</v>
      </c>
      <c r="R94" s="31">
        <f t="shared" si="4"/>
        <v>58.956</v>
      </c>
      <c r="S94" s="12">
        <f t="shared" si="5"/>
        <v>57</v>
      </c>
      <c r="T94" s="12" t="str">
        <f t="shared" si="13"/>
        <v>B</v>
      </c>
      <c r="U94" s="33">
        <f t="shared" si="7"/>
        <v>301599</v>
      </c>
      <c r="V94" s="13">
        <f t="shared" si="8"/>
        <v>0.3</v>
      </c>
      <c r="W94" s="34">
        <f t="shared" si="9"/>
        <v>0</v>
      </c>
      <c r="X94" s="4">
        <f>IF(T94="S", B94*(1+'Input Fee and Elasticity Inputs'!$B$9), IF(T94="A", B94*(1+'Input Fee and Elasticity Inputs'!$B$10), IF(T94="B", B94*(1+'Input Fee and Elasticity Inputs'!$B$11), B94*(1+'Input Fee and Elasticity Inputs'!$B$12))))</f>
        <v>40641</v>
      </c>
      <c r="Y94" s="33">
        <f t="shared" si="10"/>
        <v>7.05</v>
      </c>
      <c r="Z94" s="33">
        <f t="shared" si="11"/>
        <v>286519.05</v>
      </c>
      <c r="AA94" s="33">
        <f t="shared" si="12"/>
        <v>-15079.95</v>
      </c>
    </row>
    <row r="95">
      <c r="A95" s="3" t="s">
        <v>103</v>
      </c>
      <c r="B95" s="4">
        <v>40800.0</v>
      </c>
      <c r="C95" s="5">
        <v>14.0</v>
      </c>
      <c r="D95" s="5">
        <v>15.0</v>
      </c>
      <c r="E95" s="6">
        <v>0.71</v>
      </c>
      <c r="F95" s="7">
        <v>33.7</v>
      </c>
      <c r="G95" s="6">
        <v>0.27</v>
      </c>
      <c r="H95" s="8">
        <v>0.0404</v>
      </c>
      <c r="I95" s="8">
        <v>0.027617445606</v>
      </c>
      <c r="J95" s="9">
        <v>5.0</v>
      </c>
      <c r="K95" s="29" t="str">
        <f t="shared" si="1"/>
        <v>SMB</v>
      </c>
      <c r="L95" s="30">
        <f t="shared" si="2"/>
        <v>9.099</v>
      </c>
      <c r="M95" s="31">
        <f>PERCENTRANK(B$2:B$201,B95)*'Input Resturant Brands Scoring '!$B$3</f>
        <v>18.655</v>
      </c>
      <c r="N95" s="32">
        <f>(1-PERCENTRANK(J$2:J$201,J95))*'Input Resturant Brands Scoring '!$B$5</f>
        <v>15.462</v>
      </c>
      <c r="O95" s="31">
        <f>(1-PERCENTRANK(I$2:I$201,I95))*'Input Resturant Brands Scoring '!$B$6</f>
        <v>1.692</v>
      </c>
      <c r="P95" s="31">
        <f t="shared" si="3"/>
        <v>17.154</v>
      </c>
      <c r="Q95" s="31">
        <f>PERCENTRANK(L$2:L$201,L95)*'Input Resturant Brands Scoring '!$B$7</f>
        <v>34.3</v>
      </c>
      <c r="R95" s="31">
        <f t="shared" si="4"/>
        <v>70.109</v>
      </c>
      <c r="S95" s="12">
        <f t="shared" si="5"/>
        <v>20</v>
      </c>
      <c r="T95" s="12" t="str">
        <f t="shared" si="13"/>
        <v>A</v>
      </c>
      <c r="U95" s="33">
        <f t="shared" si="7"/>
        <v>371239.2</v>
      </c>
      <c r="V95" s="13">
        <f t="shared" si="8"/>
        <v>0.265</v>
      </c>
      <c r="W95" s="34">
        <f t="shared" si="9"/>
        <v>-0.005</v>
      </c>
      <c r="X95" s="4">
        <f>IF(T95="S", B95*(1+'Input Fee and Elasticity Inputs'!$B$9), IF(T95="A", B95*(1+'Input Fee and Elasticity Inputs'!$B$10), IF(T95="B", B95*(1+'Input Fee and Elasticity Inputs'!$B$11), B95*(1+'Input Fee and Elasticity Inputs'!$B$12))))</f>
        <v>44880</v>
      </c>
      <c r="Y95" s="33">
        <f t="shared" si="10"/>
        <v>8.9305</v>
      </c>
      <c r="Z95" s="33">
        <f t="shared" si="11"/>
        <v>400800.84</v>
      </c>
      <c r="AA95" s="33">
        <f t="shared" si="12"/>
        <v>29561.64</v>
      </c>
    </row>
    <row r="96">
      <c r="A96" s="3" t="s">
        <v>104</v>
      </c>
      <c r="B96" s="4">
        <v>39648.0</v>
      </c>
      <c r="C96" s="5">
        <v>9.0</v>
      </c>
      <c r="D96" s="5">
        <v>75.0</v>
      </c>
      <c r="E96" s="6">
        <v>0.71</v>
      </c>
      <c r="F96" s="7">
        <v>19.2</v>
      </c>
      <c r="G96" s="6">
        <v>0.3</v>
      </c>
      <c r="H96" s="8">
        <v>0.0928</v>
      </c>
      <c r="I96" s="8">
        <v>0.019479785232000002</v>
      </c>
      <c r="J96" s="9">
        <v>10.0</v>
      </c>
      <c r="K96" s="29" t="str">
        <f t="shared" si="1"/>
        <v>SMB</v>
      </c>
      <c r="L96" s="30">
        <f t="shared" si="2"/>
        <v>5.76</v>
      </c>
      <c r="M96" s="31">
        <f>PERCENTRANK(B$2:B$201,B96)*'Input Resturant Brands Scoring '!$B$3</f>
        <v>18.48</v>
      </c>
      <c r="N96" s="32">
        <f>(1-PERCENTRANK(J$2:J$201,J96))*'Input Resturant Brands Scoring '!$B$5</f>
        <v>9.054</v>
      </c>
      <c r="O96" s="31">
        <f>(1-PERCENTRANK(I$2:I$201,I96))*'Input Resturant Brands Scoring '!$B$6</f>
        <v>5.724</v>
      </c>
      <c r="P96" s="31">
        <f t="shared" si="3"/>
        <v>14.778</v>
      </c>
      <c r="Q96" s="31">
        <f>PERCENTRANK(L$2:L$201,L96)*'Input Resturant Brands Scoring '!$B$7</f>
        <v>21.28</v>
      </c>
      <c r="R96" s="31">
        <f t="shared" si="4"/>
        <v>54.538</v>
      </c>
      <c r="S96" s="12">
        <f t="shared" si="5"/>
        <v>80</v>
      </c>
      <c r="T96" s="12" t="str">
        <f t="shared" si="13"/>
        <v>B</v>
      </c>
      <c r="U96" s="33">
        <f t="shared" si="7"/>
        <v>228372.48</v>
      </c>
      <c r="V96" s="13">
        <f t="shared" si="8"/>
        <v>0.3</v>
      </c>
      <c r="W96" s="34">
        <f t="shared" si="9"/>
        <v>0</v>
      </c>
      <c r="X96" s="4">
        <f>IF(T96="S", B96*(1+'Input Fee and Elasticity Inputs'!$B$9), IF(T96="A", B96*(1+'Input Fee and Elasticity Inputs'!$B$10), IF(T96="B", B96*(1+'Input Fee and Elasticity Inputs'!$B$11), B96*(1+'Input Fee and Elasticity Inputs'!$B$12))))</f>
        <v>37665.6</v>
      </c>
      <c r="Y96" s="33">
        <f t="shared" si="10"/>
        <v>5.76</v>
      </c>
      <c r="Z96" s="33">
        <f t="shared" si="11"/>
        <v>216953.856</v>
      </c>
      <c r="AA96" s="33">
        <f t="shared" si="12"/>
        <v>-11418.624</v>
      </c>
    </row>
    <row r="97">
      <c r="A97" s="3" t="s">
        <v>105</v>
      </c>
      <c r="B97" s="4">
        <v>39300.0</v>
      </c>
      <c r="C97" s="5">
        <v>17.0</v>
      </c>
      <c r="D97" s="5">
        <v>32.0</v>
      </c>
      <c r="E97" s="6">
        <v>0.94</v>
      </c>
      <c r="F97" s="7">
        <v>13.6</v>
      </c>
      <c r="G97" s="6">
        <v>0.3</v>
      </c>
      <c r="H97" s="8">
        <v>0.1248</v>
      </c>
      <c r="I97" s="8">
        <v>0.026363703924</v>
      </c>
      <c r="J97" s="9">
        <v>6.0</v>
      </c>
      <c r="K97" s="29" t="str">
        <f t="shared" si="1"/>
        <v>SMB</v>
      </c>
      <c r="L97" s="30">
        <f t="shared" si="2"/>
        <v>4.08</v>
      </c>
      <c r="M97" s="31">
        <f>PERCENTRANK(B$2:B$201,B97)*'Input Resturant Brands Scoring '!$B$3</f>
        <v>18.305</v>
      </c>
      <c r="N97" s="32">
        <f>(1-PERCENTRANK(J$2:J$201,J97))*'Input Resturant Brands Scoring '!$B$5</f>
        <v>14.022</v>
      </c>
      <c r="O97" s="31">
        <f>(1-PERCENTRANK(I$2:I$201,I97))*'Input Resturant Brands Scoring '!$B$6</f>
        <v>2.052</v>
      </c>
      <c r="P97" s="31">
        <f t="shared" si="3"/>
        <v>16.074</v>
      </c>
      <c r="Q97" s="31">
        <f>PERCENTRANK(L$2:L$201,L97)*'Input Resturant Brands Scoring '!$B$7</f>
        <v>4.235</v>
      </c>
      <c r="R97" s="31">
        <f t="shared" si="4"/>
        <v>38.614</v>
      </c>
      <c r="S97" s="12">
        <f t="shared" si="5"/>
        <v>153</v>
      </c>
      <c r="T97" s="12" t="str">
        <f t="shared" si="13"/>
        <v>C</v>
      </c>
      <c r="U97" s="33">
        <f t="shared" si="7"/>
        <v>160344</v>
      </c>
      <c r="V97" s="13">
        <f t="shared" si="8"/>
        <v>0.3</v>
      </c>
      <c r="W97" s="34">
        <f t="shared" si="9"/>
        <v>0</v>
      </c>
      <c r="X97" s="4">
        <f>IF(T97="S", B97*(1+'Input Fee and Elasticity Inputs'!$B$9), IF(T97="A", B97*(1+'Input Fee and Elasticity Inputs'!$B$10), IF(T97="B", B97*(1+'Input Fee and Elasticity Inputs'!$B$11), B97*(1+'Input Fee and Elasticity Inputs'!$B$12))))</f>
        <v>33405</v>
      </c>
      <c r="Y97" s="33">
        <f t="shared" si="10"/>
        <v>4.08</v>
      </c>
      <c r="Z97" s="33">
        <f t="shared" si="11"/>
        <v>136292.4</v>
      </c>
      <c r="AA97" s="33">
        <f t="shared" si="12"/>
        <v>-24051.6</v>
      </c>
    </row>
    <row r="98">
      <c r="A98" s="3" t="s">
        <v>106</v>
      </c>
      <c r="B98" s="4">
        <v>39060.0</v>
      </c>
      <c r="C98" s="5">
        <v>18.0</v>
      </c>
      <c r="D98" s="5">
        <v>42.0</v>
      </c>
      <c r="E98" s="6">
        <v>0.23</v>
      </c>
      <c r="F98" s="7">
        <v>20.0</v>
      </c>
      <c r="G98" s="6">
        <v>0.15</v>
      </c>
      <c r="H98" s="8">
        <v>0.0828</v>
      </c>
      <c r="I98" s="8">
        <v>0.015885373656</v>
      </c>
      <c r="J98" s="9">
        <v>14.0</v>
      </c>
      <c r="K98" s="29" t="str">
        <f t="shared" si="1"/>
        <v>SMB</v>
      </c>
      <c r="L98" s="30">
        <f t="shared" si="2"/>
        <v>3</v>
      </c>
      <c r="M98" s="31">
        <f>PERCENTRANK(B$2:B$201,B98)*'Input Resturant Brands Scoring '!$B$3</f>
        <v>18.13</v>
      </c>
      <c r="N98" s="32">
        <f>(1-PERCENTRANK(J$2:J$201,J98))*'Input Resturant Brands Scoring '!$B$5</f>
        <v>6.426</v>
      </c>
      <c r="O98" s="31">
        <f>(1-PERCENTRANK(I$2:I$201,I98))*'Input Resturant Brands Scoring '!$B$6</f>
        <v>8.136</v>
      </c>
      <c r="P98" s="31">
        <f t="shared" si="3"/>
        <v>14.562</v>
      </c>
      <c r="Q98" s="31">
        <f>PERCENTRANK(L$2:L$201,L98)*'Input Resturant Brands Scoring '!$B$7</f>
        <v>0.525</v>
      </c>
      <c r="R98" s="31">
        <f t="shared" si="4"/>
        <v>33.217</v>
      </c>
      <c r="S98" s="12">
        <f t="shared" si="5"/>
        <v>173</v>
      </c>
      <c r="T98" s="12" t="str">
        <f t="shared" si="13"/>
        <v>C</v>
      </c>
      <c r="U98" s="33">
        <f t="shared" si="7"/>
        <v>117180</v>
      </c>
      <c r="V98" s="13">
        <f t="shared" si="8"/>
        <v>0.18</v>
      </c>
      <c r="W98" s="34">
        <f t="shared" si="9"/>
        <v>0.03</v>
      </c>
      <c r="X98" s="4">
        <f>IF(T98="S", B98*(1+'Input Fee and Elasticity Inputs'!$B$9), IF(T98="A", B98*(1+'Input Fee and Elasticity Inputs'!$B$10), IF(T98="B", B98*(1+'Input Fee and Elasticity Inputs'!$B$11), B98*(1+'Input Fee and Elasticity Inputs'!$B$12))))</f>
        <v>33201</v>
      </c>
      <c r="Y98" s="33">
        <f t="shared" si="10"/>
        <v>3.6</v>
      </c>
      <c r="Z98" s="33">
        <f t="shared" si="11"/>
        <v>119523.6</v>
      </c>
      <c r="AA98" s="33">
        <f t="shared" si="12"/>
        <v>2343.6</v>
      </c>
    </row>
    <row r="99">
      <c r="A99" s="3" t="s">
        <v>107</v>
      </c>
      <c r="B99" s="4">
        <v>39000.0</v>
      </c>
      <c r="C99" s="5">
        <v>8.0</v>
      </c>
      <c r="D99" s="5">
        <v>66.0</v>
      </c>
      <c r="E99" s="6">
        <v>0.36</v>
      </c>
      <c r="F99" s="7">
        <v>18.1</v>
      </c>
      <c r="G99" s="6">
        <v>0.3</v>
      </c>
      <c r="H99" s="8">
        <v>0.054</v>
      </c>
      <c r="I99" s="8">
        <v>0.024492753623999997</v>
      </c>
      <c r="J99" s="9">
        <v>16.0</v>
      </c>
      <c r="K99" s="29" t="str">
        <f t="shared" si="1"/>
        <v>SMB</v>
      </c>
      <c r="L99" s="30">
        <f t="shared" si="2"/>
        <v>5.43</v>
      </c>
      <c r="M99" s="31">
        <f>PERCENTRANK(B$2:B$201,B99)*'Input Resturant Brands Scoring '!$B$3</f>
        <v>17.955</v>
      </c>
      <c r="N99" s="32">
        <f>(1-PERCENTRANK(J$2:J$201,J99))*'Input Resturant Brands Scoring '!$B$5</f>
        <v>5.148</v>
      </c>
      <c r="O99" s="31">
        <f>(1-PERCENTRANK(I$2:I$201,I99))*'Input Resturant Brands Scoring '!$B$6</f>
        <v>2.652</v>
      </c>
      <c r="P99" s="31">
        <f t="shared" si="3"/>
        <v>7.8</v>
      </c>
      <c r="Q99" s="31">
        <f>PERCENTRANK(L$2:L$201,L99)*'Input Resturant Brands Scoring '!$B$7</f>
        <v>17.955</v>
      </c>
      <c r="R99" s="31">
        <f t="shared" si="4"/>
        <v>43.71</v>
      </c>
      <c r="S99" s="12">
        <f t="shared" si="5"/>
        <v>137</v>
      </c>
      <c r="T99" s="12" t="str">
        <f t="shared" si="13"/>
        <v>B</v>
      </c>
      <c r="U99" s="33">
        <f t="shared" si="7"/>
        <v>211770</v>
      </c>
      <c r="V99" s="13">
        <f t="shared" si="8"/>
        <v>0.3</v>
      </c>
      <c r="W99" s="34">
        <f t="shared" si="9"/>
        <v>0</v>
      </c>
      <c r="X99" s="4">
        <f>IF(T99="S", B99*(1+'Input Fee and Elasticity Inputs'!$B$9), IF(T99="A", B99*(1+'Input Fee and Elasticity Inputs'!$B$10), IF(T99="B", B99*(1+'Input Fee and Elasticity Inputs'!$B$11), B99*(1+'Input Fee and Elasticity Inputs'!$B$12))))</f>
        <v>37050</v>
      </c>
      <c r="Y99" s="33">
        <f t="shared" si="10"/>
        <v>5.43</v>
      </c>
      <c r="Z99" s="33">
        <f t="shared" si="11"/>
        <v>201181.5</v>
      </c>
      <c r="AA99" s="33">
        <f t="shared" si="12"/>
        <v>-10588.5</v>
      </c>
    </row>
    <row r="100">
      <c r="A100" s="3" t="s">
        <v>108</v>
      </c>
      <c r="B100" s="4">
        <v>38880.0</v>
      </c>
      <c r="C100" s="5">
        <v>10.0</v>
      </c>
      <c r="D100" s="5">
        <v>22.0</v>
      </c>
      <c r="E100" s="6">
        <v>0.13</v>
      </c>
      <c r="F100" s="7">
        <v>16.2</v>
      </c>
      <c r="G100" s="6">
        <v>0.27</v>
      </c>
      <c r="H100" s="8">
        <v>0.0384</v>
      </c>
      <c r="I100" s="8">
        <v>0.016859225766</v>
      </c>
      <c r="J100" s="9">
        <v>32.0</v>
      </c>
      <c r="K100" s="29" t="str">
        <f t="shared" si="1"/>
        <v>SMB</v>
      </c>
      <c r="L100" s="30">
        <f t="shared" si="2"/>
        <v>4.374</v>
      </c>
      <c r="M100" s="31">
        <f>PERCENTRANK(B$2:B$201,B100)*'Input Resturant Brands Scoring '!$B$3</f>
        <v>17.78</v>
      </c>
      <c r="N100" s="32">
        <f>(1-PERCENTRANK(J$2:J$201,J100))*'Input Resturant Brands Scoring '!$B$5</f>
        <v>1.26</v>
      </c>
      <c r="O100" s="31">
        <f>(1-PERCENTRANK(I$2:I$201,I100))*'Input Resturant Brands Scoring '!$B$6</f>
        <v>7.056</v>
      </c>
      <c r="P100" s="31">
        <f t="shared" si="3"/>
        <v>8.316</v>
      </c>
      <c r="Q100" s="31">
        <f>PERCENTRANK(L$2:L$201,L100)*'Input Resturant Brands Scoring '!$B$7</f>
        <v>7.035</v>
      </c>
      <c r="R100" s="31">
        <f t="shared" si="4"/>
        <v>33.131</v>
      </c>
      <c r="S100" s="12">
        <f t="shared" si="5"/>
        <v>174</v>
      </c>
      <c r="T100" s="12" t="str">
        <f t="shared" si="13"/>
        <v>C</v>
      </c>
      <c r="U100" s="33">
        <f t="shared" si="7"/>
        <v>170061.12</v>
      </c>
      <c r="V100" s="13">
        <f t="shared" si="8"/>
        <v>0.3</v>
      </c>
      <c r="W100" s="34">
        <f t="shared" si="9"/>
        <v>0.03</v>
      </c>
      <c r="X100" s="4">
        <f>IF(T100="S", B100*(1+'Input Fee and Elasticity Inputs'!$B$9), IF(T100="A", B100*(1+'Input Fee and Elasticity Inputs'!$B$10), IF(T100="B", B100*(1+'Input Fee and Elasticity Inputs'!$B$11), B100*(1+'Input Fee and Elasticity Inputs'!$B$12))))</f>
        <v>33048</v>
      </c>
      <c r="Y100" s="33">
        <f t="shared" si="10"/>
        <v>4.86</v>
      </c>
      <c r="Z100" s="33">
        <f t="shared" si="11"/>
        <v>160613.28</v>
      </c>
      <c r="AA100" s="33">
        <f t="shared" si="12"/>
        <v>-9447.84</v>
      </c>
    </row>
    <row r="101">
      <c r="A101" s="3" t="s">
        <v>109</v>
      </c>
      <c r="B101" s="4">
        <v>38544.0</v>
      </c>
      <c r="C101" s="5">
        <v>14.0</v>
      </c>
      <c r="D101" s="5">
        <v>15.0</v>
      </c>
      <c r="E101" s="6">
        <v>0.24</v>
      </c>
      <c r="F101" s="7">
        <v>18.4</v>
      </c>
      <c r="G101" s="6">
        <v>0.3</v>
      </c>
      <c r="H101" s="8">
        <v>0.0472</v>
      </c>
      <c r="I101" s="8">
        <v>0.016269125874</v>
      </c>
      <c r="J101" s="9">
        <v>17.0</v>
      </c>
      <c r="K101" s="29" t="str">
        <f t="shared" si="1"/>
        <v>SMB</v>
      </c>
      <c r="L101" s="30">
        <f t="shared" si="2"/>
        <v>5.52</v>
      </c>
      <c r="M101" s="31">
        <f>PERCENTRANK(B$2:B$201,B101)*'Input Resturant Brands Scoring '!$B$3</f>
        <v>17.605</v>
      </c>
      <c r="N101" s="32">
        <f>(1-PERCENTRANK(J$2:J$201,J101))*'Input Resturant Brands Scoring '!$B$5</f>
        <v>4.608</v>
      </c>
      <c r="O101" s="31">
        <f>(1-PERCENTRANK(I$2:I$201,I101))*'Input Resturant Brands Scoring '!$B$6</f>
        <v>7.836</v>
      </c>
      <c r="P101" s="31">
        <f t="shared" si="3"/>
        <v>12.444</v>
      </c>
      <c r="Q101" s="31">
        <f>PERCENTRANK(L$2:L$201,L101)*'Input Resturant Brands Scoring '!$B$7</f>
        <v>19.005</v>
      </c>
      <c r="R101" s="31">
        <f t="shared" si="4"/>
        <v>49.054</v>
      </c>
      <c r="S101" s="12">
        <f t="shared" si="5"/>
        <v>110</v>
      </c>
      <c r="T101" s="12" t="str">
        <f t="shared" si="13"/>
        <v>B</v>
      </c>
      <c r="U101" s="33">
        <f t="shared" si="7"/>
        <v>212762.88</v>
      </c>
      <c r="V101" s="13">
        <f t="shared" si="8"/>
        <v>0.3</v>
      </c>
      <c r="W101" s="34">
        <f t="shared" si="9"/>
        <v>0</v>
      </c>
      <c r="X101" s="4">
        <f>IF(T101="S", B101*(1+'Input Fee and Elasticity Inputs'!$B$9), IF(T101="A", B101*(1+'Input Fee and Elasticity Inputs'!$B$10), IF(T101="B", B101*(1+'Input Fee and Elasticity Inputs'!$B$11), B101*(1+'Input Fee and Elasticity Inputs'!$B$12))))</f>
        <v>36616.8</v>
      </c>
      <c r="Y101" s="33">
        <f t="shared" si="10"/>
        <v>5.52</v>
      </c>
      <c r="Z101" s="33">
        <f t="shared" si="11"/>
        <v>202124.736</v>
      </c>
      <c r="AA101" s="33">
        <f t="shared" si="12"/>
        <v>-10638.144</v>
      </c>
    </row>
    <row r="102">
      <c r="A102" s="3" t="s">
        <v>110</v>
      </c>
      <c r="B102" s="4">
        <v>37920.0</v>
      </c>
      <c r="C102" s="5">
        <v>13.0</v>
      </c>
      <c r="D102" s="5">
        <v>57.0</v>
      </c>
      <c r="E102" s="6">
        <v>0.87</v>
      </c>
      <c r="F102" s="7">
        <v>14.4</v>
      </c>
      <c r="G102" s="6">
        <v>0.3</v>
      </c>
      <c r="H102" s="8">
        <v>0.0644</v>
      </c>
      <c r="I102" s="8">
        <v>0.028096065594</v>
      </c>
      <c r="J102" s="9">
        <v>11.0</v>
      </c>
      <c r="K102" s="29" t="str">
        <f t="shared" si="1"/>
        <v>SMB</v>
      </c>
      <c r="L102" s="30">
        <f t="shared" si="2"/>
        <v>4.32</v>
      </c>
      <c r="M102" s="31">
        <f>PERCENTRANK(B$2:B$201,B102)*'Input Resturant Brands Scoring '!$B$3</f>
        <v>17.395</v>
      </c>
      <c r="N102" s="32">
        <f>(1-PERCENTRANK(J$2:J$201,J102))*'Input Resturant Brands Scoring '!$B$5</f>
        <v>8.136</v>
      </c>
      <c r="O102" s="31">
        <f>(1-PERCENTRANK(I$2:I$201,I102))*'Input Resturant Brands Scoring '!$B$6</f>
        <v>1.512</v>
      </c>
      <c r="P102" s="31">
        <f t="shared" si="3"/>
        <v>9.648</v>
      </c>
      <c r="Q102" s="31">
        <f>PERCENTRANK(L$2:L$201,L102)*'Input Resturant Brands Scoring '!$B$7</f>
        <v>5.985</v>
      </c>
      <c r="R102" s="31">
        <f t="shared" si="4"/>
        <v>33.028</v>
      </c>
      <c r="S102" s="12">
        <f t="shared" si="5"/>
        <v>175</v>
      </c>
      <c r="T102" s="12" t="str">
        <f t="shared" si="13"/>
        <v>C</v>
      </c>
      <c r="U102" s="33">
        <f t="shared" si="7"/>
        <v>163814.4</v>
      </c>
      <c r="V102" s="13">
        <f t="shared" si="8"/>
        <v>0.3</v>
      </c>
      <c r="W102" s="34">
        <f t="shared" si="9"/>
        <v>0</v>
      </c>
      <c r="X102" s="4">
        <f>IF(T102="S", B102*(1+'Input Fee and Elasticity Inputs'!$B$9), IF(T102="A", B102*(1+'Input Fee and Elasticity Inputs'!$B$10), IF(T102="B", B102*(1+'Input Fee and Elasticity Inputs'!$B$11), B102*(1+'Input Fee and Elasticity Inputs'!$B$12))))</f>
        <v>32232</v>
      </c>
      <c r="Y102" s="33">
        <f t="shared" si="10"/>
        <v>4.32</v>
      </c>
      <c r="Z102" s="33">
        <f t="shared" si="11"/>
        <v>139242.24</v>
      </c>
      <c r="AA102" s="33">
        <f t="shared" si="12"/>
        <v>-24572.16</v>
      </c>
    </row>
    <row r="103">
      <c r="A103" s="3" t="s">
        <v>111</v>
      </c>
      <c r="B103" s="4">
        <v>37500.0</v>
      </c>
      <c r="C103" s="5">
        <v>17.0</v>
      </c>
      <c r="D103" s="5">
        <v>45.0</v>
      </c>
      <c r="E103" s="6">
        <v>0.05</v>
      </c>
      <c r="F103" s="7">
        <v>19.1</v>
      </c>
      <c r="G103" s="6">
        <v>0.3</v>
      </c>
      <c r="H103" s="8">
        <v>0.0372</v>
      </c>
      <c r="I103" s="8">
        <v>0.017298657587999998</v>
      </c>
      <c r="J103" s="9">
        <v>16.0</v>
      </c>
      <c r="K103" s="29" t="str">
        <f t="shared" si="1"/>
        <v>SMB</v>
      </c>
      <c r="L103" s="30">
        <f t="shared" si="2"/>
        <v>5.73</v>
      </c>
      <c r="M103" s="31">
        <f>PERCENTRANK(B$2:B$201,B103)*'Input Resturant Brands Scoring '!$B$3</f>
        <v>17.22</v>
      </c>
      <c r="N103" s="32">
        <f>(1-PERCENTRANK(J$2:J$201,J103))*'Input Resturant Brands Scoring '!$B$5</f>
        <v>5.148</v>
      </c>
      <c r="O103" s="31">
        <f>(1-PERCENTRANK(I$2:I$201,I103))*'Input Resturant Brands Scoring '!$B$6</f>
        <v>6.876</v>
      </c>
      <c r="P103" s="31">
        <f t="shared" si="3"/>
        <v>12.024</v>
      </c>
      <c r="Q103" s="31">
        <f>PERCENTRANK(L$2:L$201,L103)*'Input Resturant Brands Scoring '!$B$7</f>
        <v>20.93</v>
      </c>
      <c r="R103" s="31">
        <f t="shared" si="4"/>
        <v>50.174</v>
      </c>
      <c r="S103" s="12">
        <f t="shared" si="5"/>
        <v>104</v>
      </c>
      <c r="T103" s="12" t="str">
        <f t="shared" si="13"/>
        <v>B</v>
      </c>
      <c r="U103" s="33">
        <f t="shared" si="7"/>
        <v>214875</v>
      </c>
      <c r="V103" s="13">
        <f t="shared" si="8"/>
        <v>0.3</v>
      </c>
      <c r="W103" s="34">
        <f t="shared" si="9"/>
        <v>0</v>
      </c>
      <c r="X103" s="4">
        <f>IF(T103="S", B103*(1+'Input Fee and Elasticity Inputs'!$B$9), IF(T103="A", B103*(1+'Input Fee and Elasticity Inputs'!$B$10), IF(T103="B", B103*(1+'Input Fee and Elasticity Inputs'!$B$11), B103*(1+'Input Fee and Elasticity Inputs'!$B$12))))</f>
        <v>35625</v>
      </c>
      <c r="Y103" s="33">
        <f t="shared" si="10"/>
        <v>5.73</v>
      </c>
      <c r="Z103" s="33">
        <f t="shared" si="11"/>
        <v>204131.25</v>
      </c>
      <c r="AA103" s="33">
        <f t="shared" si="12"/>
        <v>-10743.75</v>
      </c>
    </row>
    <row r="104">
      <c r="A104" s="3" t="s">
        <v>112</v>
      </c>
      <c r="B104" s="4">
        <v>37440.0</v>
      </c>
      <c r="C104" s="5">
        <v>8.0</v>
      </c>
      <c r="D104" s="5">
        <v>17.0</v>
      </c>
      <c r="E104" s="6">
        <v>0.48</v>
      </c>
      <c r="F104" s="7">
        <v>19.7</v>
      </c>
      <c r="G104" s="6">
        <v>0.3</v>
      </c>
      <c r="H104" s="8">
        <v>0.0464</v>
      </c>
      <c r="I104" s="8">
        <v>0.017808955919999998</v>
      </c>
      <c r="J104" s="9">
        <v>14.0</v>
      </c>
      <c r="K104" s="29" t="str">
        <f t="shared" si="1"/>
        <v>SMB</v>
      </c>
      <c r="L104" s="30">
        <f t="shared" si="2"/>
        <v>5.91</v>
      </c>
      <c r="M104" s="31">
        <f>PERCENTRANK(B$2:B$201,B104)*'Input Resturant Brands Scoring '!$B$3</f>
        <v>17.045</v>
      </c>
      <c r="N104" s="32">
        <f>(1-PERCENTRANK(J$2:J$201,J104))*'Input Resturant Brands Scoring '!$B$5</f>
        <v>6.426</v>
      </c>
      <c r="O104" s="31">
        <f>(1-PERCENTRANK(I$2:I$201,I104))*'Input Resturant Brands Scoring '!$B$6</f>
        <v>6.456</v>
      </c>
      <c r="P104" s="31">
        <f t="shared" si="3"/>
        <v>12.882</v>
      </c>
      <c r="Q104" s="31">
        <f>PERCENTRANK(L$2:L$201,L104)*'Input Resturant Brands Scoring '!$B$7</f>
        <v>22.155</v>
      </c>
      <c r="R104" s="31">
        <f t="shared" si="4"/>
        <v>52.082</v>
      </c>
      <c r="S104" s="12">
        <f t="shared" si="5"/>
        <v>94</v>
      </c>
      <c r="T104" s="12" t="str">
        <f t="shared" si="13"/>
        <v>B</v>
      </c>
      <c r="U104" s="33">
        <f t="shared" si="7"/>
        <v>221270.4</v>
      </c>
      <c r="V104" s="13">
        <f t="shared" si="8"/>
        <v>0.3</v>
      </c>
      <c r="W104" s="34">
        <f t="shared" si="9"/>
        <v>0</v>
      </c>
      <c r="X104" s="4">
        <f>IF(T104="S", B104*(1+'Input Fee and Elasticity Inputs'!$B$9), IF(T104="A", B104*(1+'Input Fee and Elasticity Inputs'!$B$10), IF(T104="B", B104*(1+'Input Fee and Elasticity Inputs'!$B$11), B104*(1+'Input Fee and Elasticity Inputs'!$B$12))))</f>
        <v>35568</v>
      </c>
      <c r="Y104" s="33">
        <f t="shared" si="10"/>
        <v>5.91</v>
      </c>
      <c r="Z104" s="33">
        <f t="shared" si="11"/>
        <v>210206.88</v>
      </c>
      <c r="AA104" s="33">
        <f t="shared" si="12"/>
        <v>-11063.52</v>
      </c>
    </row>
    <row r="105">
      <c r="A105" s="3" t="s">
        <v>113</v>
      </c>
      <c r="B105" s="4">
        <v>37248.0</v>
      </c>
      <c r="C105" s="5">
        <v>10.0</v>
      </c>
      <c r="D105" s="5">
        <v>33.0</v>
      </c>
      <c r="E105" s="6">
        <v>0.41</v>
      </c>
      <c r="F105" s="7">
        <v>18.0</v>
      </c>
      <c r="G105" s="6">
        <v>0.3</v>
      </c>
      <c r="H105" s="8">
        <v>0.0724</v>
      </c>
      <c r="I105" s="8">
        <v>0.017697857064</v>
      </c>
      <c r="J105" s="9">
        <v>4.0</v>
      </c>
      <c r="K105" s="29" t="str">
        <f t="shared" si="1"/>
        <v>SMB</v>
      </c>
      <c r="L105" s="30">
        <f t="shared" si="2"/>
        <v>5.4</v>
      </c>
      <c r="M105" s="31">
        <f>PERCENTRANK(B$2:B$201,B105)*'Input Resturant Brands Scoring '!$B$3</f>
        <v>16.87</v>
      </c>
      <c r="N105" s="32">
        <f>(1-PERCENTRANK(J$2:J$201,J105))*'Input Resturant Brands Scoring '!$B$5</f>
        <v>17.1</v>
      </c>
      <c r="O105" s="31">
        <f>(1-PERCENTRANK(I$2:I$201,I105))*'Input Resturant Brands Scoring '!$B$6</f>
        <v>6.516</v>
      </c>
      <c r="P105" s="31">
        <f t="shared" si="3"/>
        <v>23.616</v>
      </c>
      <c r="Q105" s="31">
        <f>PERCENTRANK(L$2:L$201,L105)*'Input Resturant Brands Scoring '!$B$7</f>
        <v>17.045</v>
      </c>
      <c r="R105" s="31">
        <f t="shared" si="4"/>
        <v>57.531</v>
      </c>
      <c r="S105" s="12">
        <f t="shared" si="5"/>
        <v>64</v>
      </c>
      <c r="T105" s="12" t="str">
        <f t="shared" si="13"/>
        <v>B</v>
      </c>
      <c r="U105" s="33">
        <f t="shared" si="7"/>
        <v>201139.2</v>
      </c>
      <c r="V105" s="13">
        <f t="shared" si="8"/>
        <v>0.3</v>
      </c>
      <c r="W105" s="34">
        <f t="shared" si="9"/>
        <v>0</v>
      </c>
      <c r="X105" s="4">
        <f>IF(T105="S", B105*(1+'Input Fee and Elasticity Inputs'!$B$9), IF(T105="A", B105*(1+'Input Fee and Elasticity Inputs'!$B$10), IF(T105="B", B105*(1+'Input Fee and Elasticity Inputs'!$B$11), B105*(1+'Input Fee and Elasticity Inputs'!$B$12))))</f>
        <v>35385.6</v>
      </c>
      <c r="Y105" s="33">
        <f t="shared" si="10"/>
        <v>5.4</v>
      </c>
      <c r="Z105" s="33">
        <f t="shared" si="11"/>
        <v>191082.24</v>
      </c>
      <c r="AA105" s="33">
        <f t="shared" si="12"/>
        <v>-10056.96</v>
      </c>
    </row>
    <row r="106">
      <c r="A106" s="3" t="s">
        <v>114</v>
      </c>
      <c r="B106" s="4">
        <v>37128.0</v>
      </c>
      <c r="C106" s="5">
        <v>8.0</v>
      </c>
      <c r="D106" s="5">
        <v>35.0</v>
      </c>
      <c r="E106" s="6">
        <v>0.87</v>
      </c>
      <c r="F106" s="7">
        <v>16.4</v>
      </c>
      <c r="G106" s="6">
        <v>0.27</v>
      </c>
      <c r="H106" s="8">
        <v>0.0776</v>
      </c>
      <c r="I106" s="8">
        <v>0.024071805168</v>
      </c>
      <c r="J106" s="9">
        <v>10.0</v>
      </c>
      <c r="K106" s="29" t="str">
        <f t="shared" si="1"/>
        <v>SMB</v>
      </c>
      <c r="L106" s="30">
        <f t="shared" si="2"/>
        <v>4.428</v>
      </c>
      <c r="M106" s="31">
        <f>PERCENTRANK(B$2:B$201,B106)*'Input Resturant Brands Scoring '!$B$3</f>
        <v>16.695</v>
      </c>
      <c r="N106" s="32">
        <f>(1-PERCENTRANK(J$2:J$201,J106))*'Input Resturant Brands Scoring '!$B$5</f>
        <v>9.054</v>
      </c>
      <c r="O106" s="31">
        <f>(1-PERCENTRANK(I$2:I$201,I106))*'Input Resturant Brands Scoring '!$B$6</f>
        <v>3.012</v>
      </c>
      <c r="P106" s="31">
        <f t="shared" si="3"/>
        <v>12.066</v>
      </c>
      <c r="Q106" s="31">
        <f>PERCENTRANK(L$2:L$201,L106)*'Input Resturant Brands Scoring '!$B$7</f>
        <v>7.385</v>
      </c>
      <c r="R106" s="31">
        <f t="shared" si="4"/>
        <v>36.146</v>
      </c>
      <c r="S106" s="12">
        <f t="shared" si="5"/>
        <v>159</v>
      </c>
      <c r="T106" s="12" t="str">
        <f t="shared" si="13"/>
        <v>C</v>
      </c>
      <c r="U106" s="33">
        <f t="shared" si="7"/>
        <v>164402.784</v>
      </c>
      <c r="V106" s="13">
        <f t="shared" si="8"/>
        <v>0.3</v>
      </c>
      <c r="W106" s="34">
        <f t="shared" si="9"/>
        <v>0.03</v>
      </c>
      <c r="X106" s="4">
        <f>IF(T106="S", B106*(1+'Input Fee and Elasticity Inputs'!$B$9), IF(T106="A", B106*(1+'Input Fee and Elasticity Inputs'!$B$10), IF(T106="B", B106*(1+'Input Fee and Elasticity Inputs'!$B$11), B106*(1+'Input Fee and Elasticity Inputs'!$B$12))))</f>
        <v>31558.8</v>
      </c>
      <c r="Y106" s="33">
        <f t="shared" si="10"/>
        <v>4.92</v>
      </c>
      <c r="Z106" s="33">
        <f t="shared" si="11"/>
        <v>155269.296</v>
      </c>
      <c r="AA106" s="33">
        <f t="shared" si="12"/>
        <v>-9133.488</v>
      </c>
    </row>
    <row r="107">
      <c r="A107" s="3" t="s">
        <v>115</v>
      </c>
      <c r="B107" s="4">
        <v>36864.0</v>
      </c>
      <c r="C107" s="5">
        <v>10.0</v>
      </c>
      <c r="D107" s="5">
        <v>23.0</v>
      </c>
      <c r="E107" s="6">
        <v>0.54</v>
      </c>
      <c r="F107" s="7">
        <v>17.3</v>
      </c>
      <c r="G107" s="6">
        <v>0.25</v>
      </c>
      <c r="H107" s="8">
        <v>0.0564</v>
      </c>
      <c r="I107" s="8">
        <v>0.023211791472</v>
      </c>
      <c r="J107" s="9">
        <v>17.0</v>
      </c>
      <c r="K107" s="29" t="str">
        <f t="shared" si="1"/>
        <v>SMB</v>
      </c>
      <c r="L107" s="30">
        <f t="shared" si="2"/>
        <v>4.325</v>
      </c>
      <c r="M107" s="31">
        <f>PERCENTRANK(B$2:B$201,B107)*'Input Resturant Brands Scoring '!$B$3</f>
        <v>16.52</v>
      </c>
      <c r="N107" s="32">
        <f>(1-PERCENTRANK(J$2:J$201,J107))*'Input Resturant Brands Scoring '!$B$5</f>
        <v>4.608</v>
      </c>
      <c r="O107" s="31">
        <f>(1-PERCENTRANK(I$2:I$201,I107))*'Input Resturant Brands Scoring '!$B$6</f>
        <v>3.624</v>
      </c>
      <c r="P107" s="31">
        <f t="shared" si="3"/>
        <v>8.232</v>
      </c>
      <c r="Q107" s="31">
        <f>PERCENTRANK(L$2:L$201,L107)*'Input Resturant Brands Scoring '!$B$7</f>
        <v>6.335</v>
      </c>
      <c r="R107" s="31">
        <f t="shared" si="4"/>
        <v>31.087</v>
      </c>
      <c r="S107" s="12">
        <f t="shared" si="5"/>
        <v>182</v>
      </c>
      <c r="T107" s="12" t="str">
        <f t="shared" si="13"/>
        <v>C</v>
      </c>
      <c r="U107" s="33">
        <f t="shared" si="7"/>
        <v>159436.8</v>
      </c>
      <c r="V107" s="13">
        <f t="shared" si="8"/>
        <v>0.28</v>
      </c>
      <c r="W107" s="34">
        <f t="shared" si="9"/>
        <v>0.03</v>
      </c>
      <c r="X107" s="4">
        <f>IF(T107="S", B107*(1+'Input Fee and Elasticity Inputs'!$B$9), IF(T107="A", B107*(1+'Input Fee and Elasticity Inputs'!$B$10), IF(T107="B", B107*(1+'Input Fee and Elasticity Inputs'!$B$11), B107*(1+'Input Fee and Elasticity Inputs'!$B$12))))</f>
        <v>31334.4</v>
      </c>
      <c r="Y107" s="33">
        <f t="shared" si="10"/>
        <v>4.844</v>
      </c>
      <c r="Z107" s="33">
        <f t="shared" si="11"/>
        <v>151783.8336</v>
      </c>
      <c r="AA107" s="33">
        <f t="shared" si="12"/>
        <v>-7652.9664</v>
      </c>
    </row>
    <row r="108">
      <c r="A108" s="3" t="s">
        <v>116</v>
      </c>
      <c r="B108" s="4">
        <v>35568.0</v>
      </c>
      <c r="C108" s="5">
        <v>8.0</v>
      </c>
      <c r="D108" s="5">
        <v>40.0</v>
      </c>
      <c r="E108" s="6">
        <v>0.62</v>
      </c>
      <c r="F108" s="7">
        <v>17.4</v>
      </c>
      <c r="G108" s="6">
        <v>0.3</v>
      </c>
      <c r="H108" s="8">
        <v>0.0544</v>
      </c>
      <c r="I108" s="8">
        <v>0.022421553474</v>
      </c>
      <c r="J108" s="9">
        <v>9.0</v>
      </c>
      <c r="K108" s="29" t="str">
        <f t="shared" si="1"/>
        <v>SMB</v>
      </c>
      <c r="L108" s="30">
        <f t="shared" si="2"/>
        <v>5.22</v>
      </c>
      <c r="M108" s="31">
        <f>PERCENTRANK(B$2:B$201,B108)*'Input Resturant Brands Scoring '!$B$3</f>
        <v>16.345</v>
      </c>
      <c r="N108" s="32">
        <f>(1-PERCENTRANK(J$2:J$201,J108))*'Input Resturant Brands Scoring '!$B$5</f>
        <v>10.044</v>
      </c>
      <c r="O108" s="31">
        <f>(1-PERCENTRANK(I$2:I$201,I108))*'Input Resturant Brands Scoring '!$B$6</f>
        <v>4.224</v>
      </c>
      <c r="P108" s="31">
        <f t="shared" si="3"/>
        <v>14.268</v>
      </c>
      <c r="Q108" s="31">
        <f>PERCENTRANK(L$2:L$201,L108)*'Input Resturant Brands Scoring '!$B$7</f>
        <v>15.47</v>
      </c>
      <c r="R108" s="31">
        <f t="shared" si="4"/>
        <v>46.083</v>
      </c>
      <c r="S108" s="12">
        <f t="shared" si="5"/>
        <v>127</v>
      </c>
      <c r="T108" s="12" t="str">
        <f t="shared" si="13"/>
        <v>B</v>
      </c>
      <c r="U108" s="33">
        <f t="shared" si="7"/>
        <v>185664.96</v>
      </c>
      <c r="V108" s="13">
        <f t="shared" si="8"/>
        <v>0.3</v>
      </c>
      <c r="W108" s="34">
        <f t="shared" si="9"/>
        <v>0</v>
      </c>
      <c r="X108" s="4">
        <f>IF(T108="S", B108*(1+'Input Fee and Elasticity Inputs'!$B$9), IF(T108="A", B108*(1+'Input Fee and Elasticity Inputs'!$B$10), IF(T108="B", B108*(1+'Input Fee and Elasticity Inputs'!$B$11), B108*(1+'Input Fee and Elasticity Inputs'!$B$12))))</f>
        <v>33789.6</v>
      </c>
      <c r="Y108" s="33">
        <f t="shared" si="10"/>
        <v>5.22</v>
      </c>
      <c r="Z108" s="33">
        <f t="shared" si="11"/>
        <v>176381.712</v>
      </c>
      <c r="AA108" s="33">
        <f t="shared" si="12"/>
        <v>-9283.248</v>
      </c>
    </row>
    <row r="109">
      <c r="A109" s="3" t="s">
        <v>117</v>
      </c>
      <c r="B109" s="4">
        <v>34788.0</v>
      </c>
      <c r="C109" s="5">
        <v>8.0</v>
      </c>
      <c r="D109" s="5">
        <v>17.0</v>
      </c>
      <c r="E109" s="6">
        <v>0.72</v>
      </c>
      <c r="F109" s="7">
        <v>13.7</v>
      </c>
      <c r="G109" s="6">
        <v>0.26</v>
      </c>
      <c r="H109" s="8">
        <v>0.0128</v>
      </c>
      <c r="I109" s="8">
        <v>0.020486437062</v>
      </c>
      <c r="J109" s="9">
        <v>9.0</v>
      </c>
      <c r="K109" s="29" t="str">
        <f t="shared" si="1"/>
        <v>SMB</v>
      </c>
      <c r="L109" s="30">
        <f t="shared" si="2"/>
        <v>3.562</v>
      </c>
      <c r="M109" s="31">
        <f>PERCENTRANK(B$2:B$201,B109)*'Input Resturant Brands Scoring '!$B$3</f>
        <v>16.17</v>
      </c>
      <c r="N109" s="32">
        <f>(1-PERCENTRANK(J$2:J$201,J109))*'Input Resturant Brands Scoring '!$B$5</f>
        <v>10.044</v>
      </c>
      <c r="O109" s="31">
        <f>(1-PERCENTRANK(I$2:I$201,I109))*'Input Resturant Brands Scoring '!$B$6</f>
        <v>5.064</v>
      </c>
      <c r="P109" s="31">
        <f t="shared" si="3"/>
        <v>15.108</v>
      </c>
      <c r="Q109" s="31">
        <f>PERCENTRANK(L$2:L$201,L109)*'Input Resturant Brands Scoring '!$B$7</f>
        <v>1.4</v>
      </c>
      <c r="R109" s="31">
        <f t="shared" si="4"/>
        <v>32.678</v>
      </c>
      <c r="S109" s="12">
        <f t="shared" si="5"/>
        <v>177</v>
      </c>
      <c r="T109" s="12" t="str">
        <f t="shared" si="13"/>
        <v>C</v>
      </c>
      <c r="U109" s="33">
        <f t="shared" si="7"/>
        <v>123914.856</v>
      </c>
      <c r="V109" s="13">
        <f t="shared" si="8"/>
        <v>0.29</v>
      </c>
      <c r="W109" s="34">
        <f t="shared" si="9"/>
        <v>0.03</v>
      </c>
      <c r="X109" s="4">
        <f>IF(T109="S", B109*(1+'Input Fee and Elasticity Inputs'!$B$9), IF(T109="A", B109*(1+'Input Fee and Elasticity Inputs'!$B$10), IF(T109="B", B109*(1+'Input Fee and Elasticity Inputs'!$B$11), B109*(1+'Input Fee and Elasticity Inputs'!$B$12))))</f>
        <v>29569.8</v>
      </c>
      <c r="Y109" s="33">
        <f t="shared" si="10"/>
        <v>3.973</v>
      </c>
      <c r="Z109" s="33">
        <f t="shared" si="11"/>
        <v>117480.8154</v>
      </c>
      <c r="AA109" s="33">
        <f t="shared" si="12"/>
        <v>-6434.0406</v>
      </c>
    </row>
    <row r="110">
      <c r="A110" s="3" t="s">
        <v>118</v>
      </c>
      <c r="B110" s="4">
        <v>34200.0</v>
      </c>
      <c r="C110" s="5">
        <v>9.0</v>
      </c>
      <c r="D110" s="5">
        <v>13.0</v>
      </c>
      <c r="E110" s="6">
        <v>0.7</v>
      </c>
      <c r="F110" s="7">
        <v>21.8</v>
      </c>
      <c r="G110" s="6">
        <v>0.25</v>
      </c>
      <c r="H110" s="8">
        <v>0.0348</v>
      </c>
      <c r="I110" s="8">
        <v>0.020061907121999997</v>
      </c>
      <c r="J110" s="9">
        <v>7.0</v>
      </c>
      <c r="K110" s="29" t="str">
        <f t="shared" si="1"/>
        <v>SMB</v>
      </c>
      <c r="L110" s="30">
        <f t="shared" si="2"/>
        <v>5.45</v>
      </c>
      <c r="M110" s="31">
        <f>PERCENTRANK(B$2:B$201,B110)*'Input Resturant Brands Scoring '!$B$3</f>
        <v>15.995</v>
      </c>
      <c r="N110" s="32">
        <f>(1-PERCENTRANK(J$2:J$201,J110))*'Input Resturant Brands Scoring '!$B$5</f>
        <v>12.204</v>
      </c>
      <c r="O110" s="31">
        <f>(1-PERCENTRANK(I$2:I$201,I110))*'Input Resturant Brands Scoring '!$B$6</f>
        <v>5.184</v>
      </c>
      <c r="P110" s="31">
        <f t="shared" si="3"/>
        <v>17.388</v>
      </c>
      <c r="Q110" s="31">
        <f>PERCENTRANK(L$2:L$201,L110)*'Input Resturant Brands Scoring '!$B$7</f>
        <v>18.13</v>
      </c>
      <c r="R110" s="31">
        <f t="shared" si="4"/>
        <v>51.513</v>
      </c>
      <c r="S110" s="12">
        <f t="shared" si="5"/>
        <v>98</v>
      </c>
      <c r="T110" s="12" t="str">
        <f t="shared" si="13"/>
        <v>B</v>
      </c>
      <c r="U110" s="33">
        <f t="shared" si="7"/>
        <v>186390</v>
      </c>
      <c r="V110" s="13">
        <f t="shared" si="8"/>
        <v>0.27</v>
      </c>
      <c r="W110" s="34">
        <f t="shared" si="9"/>
        <v>0.02</v>
      </c>
      <c r="X110" s="4">
        <f>IF(T110="S", B110*(1+'Input Fee and Elasticity Inputs'!$B$9), IF(T110="A", B110*(1+'Input Fee and Elasticity Inputs'!$B$10), IF(T110="B", B110*(1+'Input Fee and Elasticity Inputs'!$B$11), B110*(1+'Input Fee and Elasticity Inputs'!$B$12))))</f>
        <v>32490</v>
      </c>
      <c r="Y110" s="33">
        <f t="shared" si="10"/>
        <v>5.886</v>
      </c>
      <c r="Z110" s="33">
        <f t="shared" si="11"/>
        <v>191236.14</v>
      </c>
      <c r="AA110" s="33">
        <f t="shared" si="12"/>
        <v>4846.14</v>
      </c>
    </row>
    <row r="111">
      <c r="A111" s="3" t="s">
        <v>119</v>
      </c>
      <c r="B111" s="4">
        <v>34068.0</v>
      </c>
      <c r="C111" s="5">
        <v>11.0</v>
      </c>
      <c r="D111" s="5">
        <v>110.0</v>
      </c>
      <c r="E111" s="6">
        <v>0.13</v>
      </c>
      <c r="F111" s="7">
        <v>28.6</v>
      </c>
      <c r="G111" s="6">
        <v>0.29</v>
      </c>
      <c r="H111" s="8">
        <v>0.0636</v>
      </c>
      <c r="I111" s="8">
        <v>0.022330359786</v>
      </c>
      <c r="J111" s="9">
        <v>22.0</v>
      </c>
      <c r="K111" s="29" t="str">
        <f t="shared" si="1"/>
        <v>SMB</v>
      </c>
      <c r="L111" s="30">
        <f t="shared" si="2"/>
        <v>8.294</v>
      </c>
      <c r="M111" s="31">
        <f>PERCENTRANK(B$2:B$201,B111)*'Input Resturant Brands Scoring '!$B$3</f>
        <v>15.82</v>
      </c>
      <c r="N111" s="32">
        <f>(1-PERCENTRANK(J$2:J$201,J111))*'Input Resturant Brands Scoring '!$B$5</f>
        <v>3.078</v>
      </c>
      <c r="O111" s="31">
        <f>(1-PERCENTRANK(I$2:I$201,I111))*'Input Resturant Brands Scoring '!$B$6</f>
        <v>4.284</v>
      </c>
      <c r="P111" s="31">
        <f t="shared" si="3"/>
        <v>7.362</v>
      </c>
      <c r="Q111" s="31">
        <f>PERCENTRANK(L$2:L$201,L111)*'Input Resturant Brands Scoring '!$B$7</f>
        <v>33.25</v>
      </c>
      <c r="R111" s="31">
        <f t="shared" si="4"/>
        <v>56.432</v>
      </c>
      <c r="S111" s="12">
        <f t="shared" si="5"/>
        <v>68</v>
      </c>
      <c r="T111" s="12" t="str">
        <f t="shared" si="13"/>
        <v>B</v>
      </c>
      <c r="U111" s="33">
        <f t="shared" si="7"/>
        <v>282559.992</v>
      </c>
      <c r="V111" s="13">
        <f t="shared" si="8"/>
        <v>0.3</v>
      </c>
      <c r="W111" s="34">
        <f t="shared" si="9"/>
        <v>0.01</v>
      </c>
      <c r="X111" s="4">
        <f>IF(T111="S", B111*(1+'Input Fee and Elasticity Inputs'!$B$9), IF(T111="A", B111*(1+'Input Fee and Elasticity Inputs'!$B$10), IF(T111="B", B111*(1+'Input Fee and Elasticity Inputs'!$B$11), B111*(1+'Input Fee and Elasticity Inputs'!$B$12))))</f>
        <v>32364.6</v>
      </c>
      <c r="Y111" s="33">
        <f t="shared" si="10"/>
        <v>8.58</v>
      </c>
      <c r="Z111" s="33">
        <f t="shared" si="11"/>
        <v>277688.268</v>
      </c>
      <c r="AA111" s="33">
        <f t="shared" si="12"/>
        <v>-4871.724</v>
      </c>
    </row>
    <row r="112">
      <c r="A112" s="3" t="s">
        <v>120</v>
      </c>
      <c r="B112" s="4">
        <v>33984.0</v>
      </c>
      <c r="C112" s="5">
        <v>8.0</v>
      </c>
      <c r="D112" s="5">
        <v>11.0</v>
      </c>
      <c r="E112" s="6">
        <v>0.5</v>
      </c>
      <c r="F112" s="7">
        <v>14.4</v>
      </c>
      <c r="G112" s="6">
        <v>0.29</v>
      </c>
      <c r="H112" s="8">
        <v>0.0316</v>
      </c>
      <c r="I112" s="8">
        <v>0.026209529964</v>
      </c>
      <c r="J112" s="9">
        <v>6.0</v>
      </c>
      <c r="K112" s="29" t="str">
        <f t="shared" si="1"/>
        <v>SMB</v>
      </c>
      <c r="L112" s="30">
        <f t="shared" si="2"/>
        <v>4.176</v>
      </c>
      <c r="M112" s="31">
        <f>PERCENTRANK(B$2:B$201,B112)*'Input Resturant Brands Scoring '!$B$3</f>
        <v>15.645</v>
      </c>
      <c r="N112" s="32">
        <f>(1-PERCENTRANK(J$2:J$201,J112))*'Input Resturant Brands Scoring '!$B$5</f>
        <v>14.022</v>
      </c>
      <c r="O112" s="31">
        <f>(1-PERCENTRANK(I$2:I$201,I112))*'Input Resturant Brands Scoring '!$B$6</f>
        <v>2.112</v>
      </c>
      <c r="P112" s="31">
        <f t="shared" si="3"/>
        <v>16.134</v>
      </c>
      <c r="Q112" s="31">
        <f>PERCENTRANK(L$2:L$201,L112)*'Input Resturant Brands Scoring '!$B$7</f>
        <v>5.11</v>
      </c>
      <c r="R112" s="31">
        <f t="shared" si="4"/>
        <v>36.889</v>
      </c>
      <c r="S112" s="12">
        <f t="shared" si="5"/>
        <v>156</v>
      </c>
      <c r="T112" s="12" t="str">
        <f t="shared" si="13"/>
        <v>C</v>
      </c>
      <c r="U112" s="33">
        <f t="shared" si="7"/>
        <v>141917.184</v>
      </c>
      <c r="V112" s="13">
        <f t="shared" si="8"/>
        <v>0.3</v>
      </c>
      <c r="W112" s="34">
        <f t="shared" si="9"/>
        <v>0.01</v>
      </c>
      <c r="X112" s="4">
        <f>IF(T112="S", B112*(1+'Input Fee and Elasticity Inputs'!$B$9), IF(T112="A", B112*(1+'Input Fee and Elasticity Inputs'!$B$10), IF(T112="B", B112*(1+'Input Fee and Elasticity Inputs'!$B$11), B112*(1+'Input Fee and Elasticity Inputs'!$B$12))))</f>
        <v>28886.4</v>
      </c>
      <c r="Y112" s="33">
        <f t="shared" si="10"/>
        <v>4.32</v>
      </c>
      <c r="Z112" s="33">
        <f t="shared" si="11"/>
        <v>124789.248</v>
      </c>
      <c r="AA112" s="33">
        <f t="shared" si="12"/>
        <v>-17127.936</v>
      </c>
    </row>
    <row r="113">
      <c r="A113" s="3" t="s">
        <v>121</v>
      </c>
      <c r="B113" s="4">
        <v>33960.0</v>
      </c>
      <c r="C113" s="5">
        <v>7.0</v>
      </c>
      <c r="D113" s="5">
        <v>54.0</v>
      </c>
      <c r="E113" s="6">
        <v>0.23</v>
      </c>
      <c r="F113" s="7">
        <v>20.4</v>
      </c>
      <c r="G113" s="6">
        <v>0.3</v>
      </c>
      <c r="H113" s="8">
        <v>0.066</v>
      </c>
      <c r="I113" s="8">
        <v>0.023057722716</v>
      </c>
      <c r="J113" s="9">
        <v>13.0</v>
      </c>
      <c r="K113" s="29" t="str">
        <f t="shared" si="1"/>
        <v>SMB</v>
      </c>
      <c r="L113" s="30">
        <f t="shared" si="2"/>
        <v>6.12</v>
      </c>
      <c r="M113" s="31">
        <f>PERCENTRANK(B$2:B$201,B113)*'Input Resturant Brands Scoring '!$B$3</f>
        <v>15.47</v>
      </c>
      <c r="N113" s="32">
        <f>(1-PERCENTRANK(J$2:J$201,J113))*'Input Resturant Brands Scoring '!$B$5</f>
        <v>7.056</v>
      </c>
      <c r="O113" s="31">
        <f>(1-PERCENTRANK(I$2:I$201,I113))*'Input Resturant Brands Scoring '!$B$6</f>
        <v>3.744</v>
      </c>
      <c r="P113" s="31">
        <f t="shared" si="3"/>
        <v>10.8</v>
      </c>
      <c r="Q113" s="31">
        <f>PERCENTRANK(L$2:L$201,L113)*'Input Resturant Brands Scoring '!$B$7</f>
        <v>23.905</v>
      </c>
      <c r="R113" s="31">
        <f t="shared" si="4"/>
        <v>50.175</v>
      </c>
      <c r="S113" s="12">
        <f t="shared" si="5"/>
        <v>103</v>
      </c>
      <c r="T113" s="12" t="str">
        <f t="shared" si="13"/>
        <v>B</v>
      </c>
      <c r="U113" s="33">
        <f t="shared" si="7"/>
        <v>207835.2</v>
      </c>
      <c r="V113" s="13">
        <f t="shared" si="8"/>
        <v>0.3</v>
      </c>
      <c r="W113" s="34">
        <f t="shared" si="9"/>
        <v>0</v>
      </c>
      <c r="X113" s="4">
        <f>IF(T113="S", B113*(1+'Input Fee and Elasticity Inputs'!$B$9), IF(T113="A", B113*(1+'Input Fee and Elasticity Inputs'!$B$10), IF(T113="B", B113*(1+'Input Fee and Elasticity Inputs'!$B$11), B113*(1+'Input Fee and Elasticity Inputs'!$B$12))))</f>
        <v>32262</v>
      </c>
      <c r="Y113" s="33">
        <f t="shared" si="10"/>
        <v>6.12</v>
      </c>
      <c r="Z113" s="33">
        <f t="shared" si="11"/>
        <v>197443.44</v>
      </c>
      <c r="AA113" s="33">
        <f t="shared" si="12"/>
        <v>-10391.76</v>
      </c>
    </row>
    <row r="114">
      <c r="A114" s="3" t="s">
        <v>122</v>
      </c>
      <c r="B114" s="4">
        <v>33408.0</v>
      </c>
      <c r="C114" s="5">
        <v>22.0</v>
      </c>
      <c r="D114" s="5">
        <v>42.0</v>
      </c>
      <c r="E114" s="6">
        <v>0.66</v>
      </c>
      <c r="F114" s="7">
        <v>22.5</v>
      </c>
      <c r="G114" s="6">
        <v>0.29</v>
      </c>
      <c r="H114" s="8">
        <v>0.0756</v>
      </c>
      <c r="I114" s="8">
        <v>0.025022708424</v>
      </c>
      <c r="J114" s="9">
        <v>19.0</v>
      </c>
      <c r="K114" s="29" t="str">
        <f t="shared" si="1"/>
        <v>Enterprise</v>
      </c>
      <c r="L114" s="30">
        <f t="shared" si="2"/>
        <v>6.525</v>
      </c>
      <c r="M114" s="31">
        <f>PERCENTRANK(B$2:B$201,B114)*'Input Resturant Brands Scoring '!$B$3</f>
        <v>15.295</v>
      </c>
      <c r="N114" s="32">
        <f>(1-PERCENTRANK(J$2:J$201,J114))*'Input Resturant Brands Scoring '!$B$5</f>
        <v>3.798</v>
      </c>
      <c r="O114" s="31">
        <f>(1-PERCENTRANK(I$2:I$201,I114))*'Input Resturant Brands Scoring '!$B$6</f>
        <v>2.472</v>
      </c>
      <c r="P114" s="31">
        <f t="shared" si="3"/>
        <v>6.27</v>
      </c>
      <c r="Q114" s="31">
        <f>PERCENTRANK(L$2:L$201,L114)*'Input Resturant Brands Scoring '!$B$7</f>
        <v>26.215</v>
      </c>
      <c r="R114" s="31">
        <f t="shared" si="4"/>
        <v>47.78</v>
      </c>
      <c r="S114" s="12">
        <f t="shared" si="5"/>
        <v>115</v>
      </c>
      <c r="T114" s="12" t="str">
        <f t="shared" si="13"/>
        <v>B</v>
      </c>
      <c r="U114" s="33">
        <f t="shared" si="7"/>
        <v>217987.2</v>
      </c>
      <c r="V114" s="13">
        <f t="shared" si="8"/>
        <v>0.3</v>
      </c>
      <c r="W114" s="34">
        <f t="shared" si="9"/>
        <v>0.01</v>
      </c>
      <c r="X114" s="4">
        <f>IF(T114="S", B114*(1+'Input Fee and Elasticity Inputs'!$B$9), IF(T114="A", B114*(1+'Input Fee and Elasticity Inputs'!$B$10), IF(T114="B", B114*(1+'Input Fee and Elasticity Inputs'!$B$11), B114*(1+'Input Fee and Elasticity Inputs'!$B$12))))</f>
        <v>31737.6</v>
      </c>
      <c r="Y114" s="33">
        <f t="shared" si="10"/>
        <v>6.75</v>
      </c>
      <c r="Z114" s="33">
        <f t="shared" si="11"/>
        <v>214228.8</v>
      </c>
      <c r="AA114" s="33">
        <f t="shared" si="12"/>
        <v>-3758.4</v>
      </c>
    </row>
    <row r="115">
      <c r="A115" s="3" t="s">
        <v>123</v>
      </c>
      <c r="B115" s="4">
        <v>33060.0</v>
      </c>
      <c r="C115" s="5">
        <v>12.0</v>
      </c>
      <c r="D115" s="5">
        <v>14.0</v>
      </c>
      <c r="E115" s="6">
        <v>0.43</v>
      </c>
      <c r="F115" s="7">
        <v>22.1</v>
      </c>
      <c r="G115" s="6">
        <v>0.3</v>
      </c>
      <c r="H115" s="8">
        <v>0.0268</v>
      </c>
      <c r="I115" s="8">
        <v>0.01414609008</v>
      </c>
      <c r="J115" s="9">
        <v>6.0</v>
      </c>
      <c r="K115" s="29" t="str">
        <f t="shared" si="1"/>
        <v>SMB</v>
      </c>
      <c r="L115" s="30">
        <f t="shared" si="2"/>
        <v>6.63</v>
      </c>
      <c r="M115" s="31">
        <f>PERCENTRANK(B$2:B$201,B115)*'Input Resturant Brands Scoring '!$B$3</f>
        <v>15.12</v>
      </c>
      <c r="N115" s="32">
        <f>(1-PERCENTRANK(J$2:J$201,J115))*'Input Resturant Brands Scoring '!$B$5</f>
        <v>14.022</v>
      </c>
      <c r="O115" s="31">
        <f>(1-PERCENTRANK(I$2:I$201,I115))*'Input Resturant Brands Scoring '!$B$6</f>
        <v>9.828</v>
      </c>
      <c r="P115" s="31">
        <f t="shared" si="3"/>
        <v>23.85</v>
      </c>
      <c r="Q115" s="31">
        <f>PERCENTRANK(L$2:L$201,L115)*'Input Resturant Brands Scoring '!$B$7</f>
        <v>26.915</v>
      </c>
      <c r="R115" s="31">
        <f t="shared" si="4"/>
        <v>65.885</v>
      </c>
      <c r="S115" s="12">
        <f t="shared" si="5"/>
        <v>33</v>
      </c>
      <c r="T115" s="12" t="str">
        <f t="shared" si="13"/>
        <v>A</v>
      </c>
      <c r="U115" s="33">
        <f t="shared" si="7"/>
        <v>219187.8</v>
      </c>
      <c r="V115" s="13">
        <f t="shared" si="8"/>
        <v>0.295</v>
      </c>
      <c r="W115" s="34">
        <f t="shared" si="9"/>
        <v>-0.005</v>
      </c>
      <c r="X115" s="4">
        <f>IF(T115="S", B115*(1+'Input Fee and Elasticity Inputs'!$B$9), IF(T115="A", B115*(1+'Input Fee and Elasticity Inputs'!$B$10), IF(T115="B", B115*(1+'Input Fee and Elasticity Inputs'!$B$11), B115*(1+'Input Fee and Elasticity Inputs'!$B$12))))</f>
        <v>36366</v>
      </c>
      <c r="Y115" s="33">
        <f t="shared" si="10"/>
        <v>6.5195</v>
      </c>
      <c r="Z115" s="33">
        <f t="shared" si="11"/>
        <v>237088.137</v>
      </c>
      <c r="AA115" s="33">
        <f t="shared" si="12"/>
        <v>17900.337</v>
      </c>
    </row>
    <row r="116">
      <c r="A116" s="3" t="s">
        <v>124</v>
      </c>
      <c r="B116" s="4">
        <v>33000.0</v>
      </c>
      <c r="C116" s="5">
        <v>14.0</v>
      </c>
      <c r="D116" s="5">
        <v>67.0</v>
      </c>
      <c r="E116" s="6">
        <v>0.22</v>
      </c>
      <c r="F116" s="7">
        <v>12.3</v>
      </c>
      <c r="G116" s="6">
        <v>0.3</v>
      </c>
      <c r="H116" s="8">
        <v>0.2668</v>
      </c>
      <c r="I116" s="8">
        <v>0.013717138283999999</v>
      </c>
      <c r="J116" s="9">
        <v>4.0</v>
      </c>
      <c r="K116" s="29" t="str">
        <f t="shared" si="1"/>
        <v>SMB</v>
      </c>
      <c r="L116" s="30">
        <f t="shared" si="2"/>
        <v>3.69</v>
      </c>
      <c r="M116" s="31">
        <f>PERCENTRANK(B$2:B$201,B116)*'Input Resturant Brands Scoring '!$B$3</f>
        <v>14.945</v>
      </c>
      <c r="N116" s="32">
        <f>(1-PERCENTRANK(J$2:J$201,J116))*'Input Resturant Brands Scoring '!$B$5</f>
        <v>17.1</v>
      </c>
      <c r="O116" s="31">
        <f>(1-PERCENTRANK(I$2:I$201,I116))*'Input Resturant Brands Scoring '!$B$6</f>
        <v>10.308</v>
      </c>
      <c r="P116" s="31">
        <f t="shared" si="3"/>
        <v>27.408</v>
      </c>
      <c r="Q116" s="31">
        <f>PERCENTRANK(L$2:L$201,L116)*'Input Resturant Brands Scoring '!$B$7</f>
        <v>2.1</v>
      </c>
      <c r="R116" s="31">
        <f t="shared" si="4"/>
        <v>44.453</v>
      </c>
      <c r="S116" s="12">
        <f t="shared" si="5"/>
        <v>134</v>
      </c>
      <c r="T116" s="12" t="str">
        <f t="shared" si="13"/>
        <v>B</v>
      </c>
      <c r="U116" s="33">
        <f t="shared" si="7"/>
        <v>121770</v>
      </c>
      <c r="V116" s="13">
        <f t="shared" si="8"/>
        <v>0.3</v>
      </c>
      <c r="W116" s="34">
        <f t="shared" si="9"/>
        <v>0</v>
      </c>
      <c r="X116" s="4">
        <f>IF(T116="S", B116*(1+'Input Fee and Elasticity Inputs'!$B$9), IF(T116="A", B116*(1+'Input Fee and Elasticity Inputs'!$B$10), IF(T116="B", B116*(1+'Input Fee and Elasticity Inputs'!$B$11), B116*(1+'Input Fee and Elasticity Inputs'!$B$12))))</f>
        <v>31350</v>
      </c>
      <c r="Y116" s="33">
        <f t="shared" si="10"/>
        <v>3.69</v>
      </c>
      <c r="Z116" s="33">
        <f t="shared" si="11"/>
        <v>115681.5</v>
      </c>
      <c r="AA116" s="33">
        <f t="shared" si="12"/>
        <v>-6088.5</v>
      </c>
    </row>
    <row r="117">
      <c r="A117" s="3" t="s">
        <v>125</v>
      </c>
      <c r="B117" s="4">
        <v>32940.0</v>
      </c>
      <c r="C117" s="5">
        <v>9.0</v>
      </c>
      <c r="D117" s="5">
        <v>10.0</v>
      </c>
      <c r="E117" s="6">
        <v>0.33</v>
      </c>
      <c r="F117" s="7">
        <v>17.7</v>
      </c>
      <c r="G117" s="6">
        <v>0.3</v>
      </c>
      <c r="H117" s="8">
        <v>0.0544</v>
      </c>
      <c r="I117" s="8">
        <v>0.021855261605999998</v>
      </c>
      <c r="J117" s="9">
        <v>12.0</v>
      </c>
      <c r="K117" s="29" t="str">
        <f t="shared" si="1"/>
        <v>SMB</v>
      </c>
      <c r="L117" s="30">
        <f t="shared" si="2"/>
        <v>5.31</v>
      </c>
      <c r="M117" s="31">
        <f>PERCENTRANK(B$2:B$201,B117)*'Input Resturant Brands Scoring '!$B$3</f>
        <v>14.77</v>
      </c>
      <c r="N117" s="32">
        <f>(1-PERCENTRANK(J$2:J$201,J117))*'Input Resturant Brands Scoring '!$B$5</f>
        <v>7.326</v>
      </c>
      <c r="O117" s="31">
        <f>(1-PERCENTRANK(I$2:I$201,I117))*'Input Resturant Brands Scoring '!$B$6</f>
        <v>4.524</v>
      </c>
      <c r="P117" s="31">
        <f t="shared" si="3"/>
        <v>11.85</v>
      </c>
      <c r="Q117" s="31">
        <f>PERCENTRANK(L$2:L$201,L117)*'Input Resturant Brands Scoring '!$B$7</f>
        <v>16.345</v>
      </c>
      <c r="R117" s="31">
        <f t="shared" si="4"/>
        <v>42.965</v>
      </c>
      <c r="S117" s="12">
        <f t="shared" si="5"/>
        <v>142</v>
      </c>
      <c r="T117" s="12" t="str">
        <f t="shared" si="13"/>
        <v>B</v>
      </c>
      <c r="U117" s="33">
        <f t="shared" si="7"/>
        <v>174911.4</v>
      </c>
      <c r="V117" s="13">
        <f t="shared" si="8"/>
        <v>0.3</v>
      </c>
      <c r="W117" s="34">
        <f t="shared" si="9"/>
        <v>0</v>
      </c>
      <c r="X117" s="4">
        <f>IF(T117="S", B117*(1+'Input Fee and Elasticity Inputs'!$B$9), IF(T117="A", B117*(1+'Input Fee and Elasticity Inputs'!$B$10), IF(T117="B", B117*(1+'Input Fee and Elasticity Inputs'!$B$11), B117*(1+'Input Fee and Elasticity Inputs'!$B$12))))</f>
        <v>31293</v>
      </c>
      <c r="Y117" s="33">
        <f t="shared" si="10"/>
        <v>5.31</v>
      </c>
      <c r="Z117" s="33">
        <f t="shared" si="11"/>
        <v>166165.83</v>
      </c>
      <c r="AA117" s="33">
        <f t="shared" si="12"/>
        <v>-8745.57</v>
      </c>
    </row>
    <row r="118">
      <c r="A118" s="3" t="s">
        <v>126</v>
      </c>
      <c r="B118" s="4">
        <v>32292.0</v>
      </c>
      <c r="C118" s="5">
        <v>7.0</v>
      </c>
      <c r="D118" s="5">
        <v>8.0</v>
      </c>
      <c r="E118" s="6">
        <v>0.69</v>
      </c>
      <c r="F118" s="7">
        <v>17.1</v>
      </c>
      <c r="G118" s="6">
        <v>0.24</v>
      </c>
      <c r="H118" s="8">
        <v>0.0752</v>
      </c>
      <c r="I118" s="8">
        <v>0.016821485622</v>
      </c>
      <c r="J118" s="9">
        <v>9.0</v>
      </c>
      <c r="K118" s="29" t="str">
        <f t="shared" si="1"/>
        <v>SMB</v>
      </c>
      <c r="L118" s="30">
        <f t="shared" si="2"/>
        <v>4.104</v>
      </c>
      <c r="M118" s="31">
        <f>PERCENTRANK(B$2:B$201,B118)*'Input Resturant Brands Scoring '!$B$3</f>
        <v>14.595</v>
      </c>
      <c r="N118" s="32">
        <f>(1-PERCENTRANK(J$2:J$201,J118))*'Input Resturant Brands Scoring '!$B$5</f>
        <v>10.044</v>
      </c>
      <c r="O118" s="31">
        <f>(1-PERCENTRANK(I$2:I$201,I118))*'Input Resturant Brands Scoring '!$B$6</f>
        <v>7.116</v>
      </c>
      <c r="P118" s="31">
        <f t="shared" si="3"/>
        <v>17.16</v>
      </c>
      <c r="Q118" s="31">
        <f>PERCENTRANK(L$2:L$201,L118)*'Input Resturant Brands Scoring '!$B$7</f>
        <v>4.41</v>
      </c>
      <c r="R118" s="31">
        <f t="shared" si="4"/>
        <v>36.165</v>
      </c>
      <c r="S118" s="12">
        <f t="shared" si="5"/>
        <v>158</v>
      </c>
      <c r="T118" s="12" t="str">
        <f t="shared" si="13"/>
        <v>C</v>
      </c>
      <c r="U118" s="33">
        <f t="shared" si="7"/>
        <v>132526.368</v>
      </c>
      <c r="V118" s="13">
        <f t="shared" si="8"/>
        <v>0.27</v>
      </c>
      <c r="W118" s="34">
        <f t="shared" si="9"/>
        <v>0.03</v>
      </c>
      <c r="X118" s="4">
        <f>IF(T118="S", B118*(1+'Input Fee and Elasticity Inputs'!$B$9), IF(T118="A", B118*(1+'Input Fee and Elasticity Inputs'!$B$10), IF(T118="B", B118*(1+'Input Fee and Elasticity Inputs'!$B$11), B118*(1+'Input Fee and Elasticity Inputs'!$B$12))))</f>
        <v>27448.2</v>
      </c>
      <c r="Y118" s="33">
        <f t="shared" si="10"/>
        <v>4.617</v>
      </c>
      <c r="Z118" s="33">
        <f t="shared" si="11"/>
        <v>126728.3394</v>
      </c>
      <c r="AA118" s="33">
        <f t="shared" si="12"/>
        <v>-5798.0286</v>
      </c>
    </row>
    <row r="119">
      <c r="A119" s="3" t="s">
        <v>127</v>
      </c>
      <c r="B119" s="4">
        <v>32280.0</v>
      </c>
      <c r="C119" s="5">
        <v>7.0</v>
      </c>
      <c r="D119" s="5">
        <v>14.0</v>
      </c>
      <c r="E119" s="6">
        <v>0.57</v>
      </c>
      <c r="F119" s="7">
        <v>24.1</v>
      </c>
      <c r="G119" s="6">
        <v>0.3</v>
      </c>
      <c r="H119" s="8">
        <v>0.0536</v>
      </c>
      <c r="I119" s="8">
        <v>0.023332497144</v>
      </c>
      <c r="J119" s="9">
        <v>18.0</v>
      </c>
      <c r="K119" s="29" t="str">
        <f t="shared" si="1"/>
        <v>SMB</v>
      </c>
      <c r="L119" s="30">
        <f t="shared" si="2"/>
        <v>7.23</v>
      </c>
      <c r="M119" s="31">
        <f>PERCENTRANK(B$2:B$201,B119)*'Input Resturant Brands Scoring '!$B$3</f>
        <v>14.42</v>
      </c>
      <c r="N119" s="32">
        <f>(1-PERCENTRANK(J$2:J$201,J119))*'Input Resturant Brands Scoring '!$B$5</f>
        <v>3.978</v>
      </c>
      <c r="O119" s="31">
        <f>(1-PERCENTRANK(I$2:I$201,I119))*'Input Resturant Brands Scoring '!$B$6</f>
        <v>3.492</v>
      </c>
      <c r="P119" s="31">
        <f t="shared" si="3"/>
        <v>7.47</v>
      </c>
      <c r="Q119" s="31">
        <f>PERCENTRANK(L$2:L$201,L119)*'Input Resturant Brands Scoring '!$B$7</f>
        <v>29.89</v>
      </c>
      <c r="R119" s="31">
        <f t="shared" si="4"/>
        <v>51.78</v>
      </c>
      <c r="S119" s="12">
        <f t="shared" si="5"/>
        <v>97</v>
      </c>
      <c r="T119" s="12" t="str">
        <f t="shared" si="13"/>
        <v>B</v>
      </c>
      <c r="U119" s="33">
        <f t="shared" si="7"/>
        <v>233384.4</v>
      </c>
      <c r="V119" s="13">
        <f t="shared" si="8"/>
        <v>0.3</v>
      </c>
      <c r="W119" s="34">
        <f t="shared" si="9"/>
        <v>0</v>
      </c>
      <c r="X119" s="4">
        <f>IF(T119="S", B119*(1+'Input Fee and Elasticity Inputs'!$B$9), IF(T119="A", B119*(1+'Input Fee and Elasticity Inputs'!$B$10), IF(T119="B", B119*(1+'Input Fee and Elasticity Inputs'!$B$11), B119*(1+'Input Fee and Elasticity Inputs'!$B$12))))</f>
        <v>30666</v>
      </c>
      <c r="Y119" s="33">
        <f t="shared" si="10"/>
        <v>7.23</v>
      </c>
      <c r="Z119" s="33">
        <f t="shared" si="11"/>
        <v>221715.18</v>
      </c>
      <c r="AA119" s="33">
        <f t="shared" si="12"/>
        <v>-11669.22</v>
      </c>
    </row>
    <row r="120">
      <c r="A120" s="3" t="s">
        <v>128</v>
      </c>
      <c r="B120" s="4">
        <v>31416.0</v>
      </c>
      <c r="C120" s="5">
        <v>10.0</v>
      </c>
      <c r="D120" s="5">
        <v>24.0</v>
      </c>
      <c r="E120" s="6">
        <v>0.17</v>
      </c>
      <c r="F120" s="7">
        <v>20.8</v>
      </c>
      <c r="G120" s="6">
        <v>0.3</v>
      </c>
      <c r="H120" s="8">
        <v>0.028</v>
      </c>
      <c r="I120" s="8">
        <v>0.014396767044</v>
      </c>
      <c r="J120" s="9">
        <v>14.0</v>
      </c>
      <c r="K120" s="29" t="str">
        <f t="shared" si="1"/>
        <v>SMB</v>
      </c>
      <c r="L120" s="30">
        <f t="shared" si="2"/>
        <v>6.24</v>
      </c>
      <c r="M120" s="31">
        <f>PERCENTRANK(B$2:B$201,B120)*'Input Resturant Brands Scoring '!$B$3</f>
        <v>14.245</v>
      </c>
      <c r="N120" s="32">
        <f>(1-PERCENTRANK(J$2:J$201,J120))*'Input Resturant Brands Scoring '!$B$5</f>
        <v>6.426</v>
      </c>
      <c r="O120" s="31">
        <f>(1-PERCENTRANK(I$2:I$201,I120))*'Input Resturant Brands Scoring '!$B$6</f>
        <v>9.108</v>
      </c>
      <c r="P120" s="31">
        <f t="shared" si="3"/>
        <v>15.534</v>
      </c>
      <c r="Q120" s="31">
        <f>PERCENTRANK(L$2:L$201,L120)*'Input Resturant Brands Scoring '!$B$7</f>
        <v>24.815</v>
      </c>
      <c r="R120" s="31">
        <f t="shared" si="4"/>
        <v>54.594</v>
      </c>
      <c r="S120" s="12">
        <f t="shared" si="5"/>
        <v>79</v>
      </c>
      <c r="T120" s="12" t="str">
        <f t="shared" si="13"/>
        <v>B</v>
      </c>
      <c r="U120" s="33">
        <f t="shared" si="7"/>
        <v>196035.84</v>
      </c>
      <c r="V120" s="13">
        <f t="shared" si="8"/>
        <v>0.3</v>
      </c>
      <c r="W120" s="34">
        <f t="shared" si="9"/>
        <v>0</v>
      </c>
      <c r="X120" s="4">
        <f>IF(T120="S", B120*(1+'Input Fee and Elasticity Inputs'!$B$9), IF(T120="A", B120*(1+'Input Fee and Elasticity Inputs'!$B$10), IF(T120="B", B120*(1+'Input Fee and Elasticity Inputs'!$B$11), B120*(1+'Input Fee and Elasticity Inputs'!$B$12))))</f>
        <v>29845.2</v>
      </c>
      <c r="Y120" s="33">
        <f t="shared" si="10"/>
        <v>6.24</v>
      </c>
      <c r="Z120" s="33">
        <f t="shared" si="11"/>
        <v>186234.048</v>
      </c>
      <c r="AA120" s="33">
        <f t="shared" si="12"/>
        <v>-9801.792</v>
      </c>
    </row>
    <row r="121">
      <c r="A121" s="3" t="s">
        <v>129</v>
      </c>
      <c r="B121" s="4">
        <v>31320.0</v>
      </c>
      <c r="C121" s="5">
        <v>7.0</v>
      </c>
      <c r="D121" s="5">
        <v>11.0</v>
      </c>
      <c r="E121" s="6">
        <v>0.72</v>
      </c>
      <c r="F121" s="7">
        <v>27.8</v>
      </c>
      <c r="G121" s="6">
        <v>0.26</v>
      </c>
      <c r="H121" s="8">
        <v>0.0576</v>
      </c>
      <c r="I121" s="8">
        <v>0.013911334458</v>
      </c>
      <c r="J121" s="9">
        <v>5.0</v>
      </c>
      <c r="K121" s="29" t="str">
        <f t="shared" si="1"/>
        <v>SMB</v>
      </c>
      <c r="L121" s="30">
        <f t="shared" si="2"/>
        <v>7.228</v>
      </c>
      <c r="M121" s="31">
        <f>PERCENTRANK(B$2:B$201,B121)*'Input Resturant Brands Scoring '!$B$3</f>
        <v>14.07</v>
      </c>
      <c r="N121" s="32">
        <f>(1-PERCENTRANK(J$2:J$201,J121))*'Input Resturant Brands Scoring '!$B$5</f>
        <v>15.462</v>
      </c>
      <c r="O121" s="31">
        <f>(1-PERCENTRANK(I$2:I$201,I121))*'Input Resturant Brands Scoring '!$B$6</f>
        <v>10.068</v>
      </c>
      <c r="P121" s="31">
        <f t="shared" si="3"/>
        <v>25.53</v>
      </c>
      <c r="Q121" s="31">
        <f>PERCENTRANK(L$2:L$201,L121)*'Input Resturant Brands Scoring '!$B$7</f>
        <v>29.715</v>
      </c>
      <c r="R121" s="31">
        <f t="shared" si="4"/>
        <v>69.315</v>
      </c>
      <c r="S121" s="12">
        <f t="shared" si="5"/>
        <v>22</v>
      </c>
      <c r="T121" s="12" t="str">
        <f t="shared" si="13"/>
        <v>A</v>
      </c>
      <c r="U121" s="33">
        <f t="shared" si="7"/>
        <v>226380.96</v>
      </c>
      <c r="V121" s="13">
        <f t="shared" si="8"/>
        <v>0.255</v>
      </c>
      <c r="W121" s="34">
        <f t="shared" si="9"/>
        <v>-0.005</v>
      </c>
      <c r="X121" s="4">
        <f>IF(T121="S", B121*(1+'Input Fee and Elasticity Inputs'!$B$9), IF(T121="A", B121*(1+'Input Fee and Elasticity Inputs'!$B$10), IF(T121="B", B121*(1+'Input Fee and Elasticity Inputs'!$B$11), B121*(1+'Input Fee and Elasticity Inputs'!$B$12))))</f>
        <v>34452</v>
      </c>
      <c r="Y121" s="33">
        <f t="shared" si="10"/>
        <v>7.089</v>
      </c>
      <c r="Z121" s="33">
        <f t="shared" si="11"/>
        <v>244230.228</v>
      </c>
      <c r="AA121" s="33">
        <f t="shared" si="12"/>
        <v>17849.268</v>
      </c>
    </row>
    <row r="122">
      <c r="A122" s="3" t="s">
        <v>130</v>
      </c>
      <c r="B122" s="4">
        <v>31104.0</v>
      </c>
      <c r="C122" s="5">
        <v>10.0</v>
      </c>
      <c r="D122" s="5">
        <v>13.0</v>
      </c>
      <c r="E122" s="6">
        <v>1.0</v>
      </c>
      <c r="F122" s="7">
        <v>18.5</v>
      </c>
      <c r="G122" s="6">
        <v>0.3</v>
      </c>
      <c r="H122" s="8">
        <v>0.0496</v>
      </c>
      <c r="I122" s="8">
        <v>0.014267113367999998</v>
      </c>
      <c r="J122" s="9">
        <v>17.0</v>
      </c>
      <c r="K122" s="29" t="str">
        <f t="shared" si="1"/>
        <v>SMB</v>
      </c>
      <c r="L122" s="30">
        <f t="shared" si="2"/>
        <v>5.55</v>
      </c>
      <c r="M122" s="31">
        <f>PERCENTRANK(B$2:B$201,B122)*'Input Resturant Brands Scoring '!$B$3</f>
        <v>13.895</v>
      </c>
      <c r="N122" s="32">
        <f>(1-PERCENTRANK(J$2:J$201,J122))*'Input Resturant Brands Scoring '!$B$5</f>
        <v>4.608</v>
      </c>
      <c r="O122" s="31">
        <f>(1-PERCENTRANK(I$2:I$201,I122))*'Input Resturant Brands Scoring '!$B$6</f>
        <v>9.588</v>
      </c>
      <c r="P122" s="31">
        <f t="shared" si="3"/>
        <v>14.196</v>
      </c>
      <c r="Q122" s="31">
        <f>PERCENTRANK(L$2:L$201,L122)*'Input Resturant Brands Scoring '!$B$7</f>
        <v>19.355</v>
      </c>
      <c r="R122" s="31">
        <f t="shared" si="4"/>
        <v>47.446</v>
      </c>
      <c r="S122" s="12">
        <f t="shared" si="5"/>
        <v>118</v>
      </c>
      <c r="T122" s="12" t="str">
        <f t="shared" si="13"/>
        <v>B</v>
      </c>
      <c r="U122" s="33">
        <f t="shared" si="7"/>
        <v>172627.2</v>
      </c>
      <c r="V122" s="13">
        <f t="shared" si="8"/>
        <v>0.3</v>
      </c>
      <c r="W122" s="34">
        <f t="shared" si="9"/>
        <v>0</v>
      </c>
      <c r="X122" s="4">
        <f>IF(T122="S", B122*(1+'Input Fee and Elasticity Inputs'!$B$9), IF(T122="A", B122*(1+'Input Fee and Elasticity Inputs'!$B$10), IF(T122="B", B122*(1+'Input Fee and Elasticity Inputs'!$B$11), B122*(1+'Input Fee and Elasticity Inputs'!$B$12))))</f>
        <v>29548.8</v>
      </c>
      <c r="Y122" s="33">
        <f t="shared" si="10"/>
        <v>5.55</v>
      </c>
      <c r="Z122" s="33">
        <f t="shared" si="11"/>
        <v>163995.84</v>
      </c>
      <c r="AA122" s="33">
        <f t="shared" si="12"/>
        <v>-8631.36</v>
      </c>
    </row>
    <row r="123">
      <c r="A123" s="3" t="s">
        <v>131</v>
      </c>
      <c r="B123" s="4">
        <v>30756.0</v>
      </c>
      <c r="C123" s="5">
        <v>8.0</v>
      </c>
      <c r="D123" s="5">
        <v>9.0</v>
      </c>
      <c r="E123" s="6">
        <v>0.01</v>
      </c>
      <c r="F123" s="7">
        <v>27.8</v>
      </c>
      <c r="G123" s="6">
        <v>0.28</v>
      </c>
      <c r="H123" s="8">
        <v>0.0264</v>
      </c>
      <c r="I123" s="8">
        <v>0.017210518224</v>
      </c>
      <c r="J123" s="9">
        <v>6.0</v>
      </c>
      <c r="K123" s="29" t="str">
        <f t="shared" si="1"/>
        <v>SMB</v>
      </c>
      <c r="L123" s="30">
        <f t="shared" si="2"/>
        <v>7.784</v>
      </c>
      <c r="M123" s="31">
        <f>PERCENTRANK(B$2:B$201,B123)*'Input Resturant Brands Scoring '!$B$3</f>
        <v>13.72</v>
      </c>
      <c r="N123" s="32">
        <f>(1-PERCENTRANK(J$2:J$201,J123))*'Input Resturant Brands Scoring '!$B$5</f>
        <v>14.022</v>
      </c>
      <c r="O123" s="31">
        <f>(1-PERCENTRANK(I$2:I$201,I123))*'Input Resturant Brands Scoring '!$B$6</f>
        <v>6.996</v>
      </c>
      <c r="P123" s="31">
        <f t="shared" si="3"/>
        <v>21.018</v>
      </c>
      <c r="Q123" s="31">
        <f>PERCENTRANK(L$2:L$201,L123)*'Input Resturant Brands Scoring '!$B$7</f>
        <v>32.2</v>
      </c>
      <c r="R123" s="31">
        <f t="shared" si="4"/>
        <v>66.938</v>
      </c>
      <c r="S123" s="12">
        <f t="shared" si="5"/>
        <v>28</v>
      </c>
      <c r="T123" s="12" t="str">
        <f t="shared" si="13"/>
        <v>A</v>
      </c>
      <c r="U123" s="33">
        <f t="shared" si="7"/>
        <v>239404.704</v>
      </c>
      <c r="V123" s="13">
        <f t="shared" si="8"/>
        <v>0.275</v>
      </c>
      <c r="W123" s="34">
        <f t="shared" si="9"/>
        <v>-0.005</v>
      </c>
      <c r="X123" s="4">
        <f>IF(T123="S", B123*(1+'Input Fee and Elasticity Inputs'!$B$9), IF(T123="A", B123*(1+'Input Fee and Elasticity Inputs'!$B$10), IF(T123="B", B123*(1+'Input Fee and Elasticity Inputs'!$B$11), B123*(1+'Input Fee and Elasticity Inputs'!$B$12))))</f>
        <v>33831.6</v>
      </c>
      <c r="Y123" s="33">
        <f t="shared" si="10"/>
        <v>7.645</v>
      </c>
      <c r="Z123" s="33">
        <f t="shared" si="11"/>
        <v>258642.582</v>
      </c>
      <c r="AA123" s="33">
        <f t="shared" si="12"/>
        <v>19237.878</v>
      </c>
    </row>
    <row r="124">
      <c r="A124" s="3" t="s">
        <v>132</v>
      </c>
      <c r="B124" s="4">
        <v>30744.0</v>
      </c>
      <c r="C124" s="5">
        <v>9.0</v>
      </c>
      <c r="D124" s="5">
        <v>12.0</v>
      </c>
      <c r="E124" s="6">
        <v>0.14</v>
      </c>
      <c r="F124" s="7">
        <v>18.6</v>
      </c>
      <c r="G124" s="6">
        <v>0.3</v>
      </c>
      <c r="H124" s="8">
        <v>0.01</v>
      </c>
      <c r="I124" s="8">
        <v>0.013187972022</v>
      </c>
      <c r="J124" s="9">
        <v>4.0</v>
      </c>
      <c r="K124" s="29" t="str">
        <f t="shared" si="1"/>
        <v>SMB</v>
      </c>
      <c r="L124" s="30">
        <f t="shared" si="2"/>
        <v>5.58</v>
      </c>
      <c r="M124" s="31">
        <f>PERCENTRANK(B$2:B$201,B124)*'Input Resturant Brands Scoring '!$B$3</f>
        <v>13.545</v>
      </c>
      <c r="N124" s="32">
        <f>(1-PERCENTRANK(J$2:J$201,J124))*'Input Resturant Brands Scoring '!$B$5</f>
        <v>17.1</v>
      </c>
      <c r="O124" s="31">
        <f>(1-PERCENTRANK(I$2:I$201,I124))*'Input Resturant Brands Scoring '!$B$6</f>
        <v>10.728</v>
      </c>
      <c r="P124" s="31">
        <f t="shared" si="3"/>
        <v>27.828</v>
      </c>
      <c r="Q124" s="31">
        <f>PERCENTRANK(L$2:L$201,L124)*'Input Resturant Brands Scoring '!$B$7</f>
        <v>19.705</v>
      </c>
      <c r="R124" s="31">
        <f t="shared" si="4"/>
        <v>61.078</v>
      </c>
      <c r="S124" s="12">
        <f t="shared" si="5"/>
        <v>51</v>
      </c>
      <c r="T124" s="12" t="str">
        <f t="shared" si="13"/>
        <v>B</v>
      </c>
      <c r="U124" s="33">
        <f t="shared" si="7"/>
        <v>171551.52</v>
      </c>
      <c r="V124" s="13">
        <f t="shared" si="8"/>
        <v>0.3</v>
      </c>
      <c r="W124" s="34">
        <f t="shared" si="9"/>
        <v>0</v>
      </c>
      <c r="X124" s="4">
        <f>IF(T124="S", B124*(1+'Input Fee and Elasticity Inputs'!$B$9), IF(T124="A", B124*(1+'Input Fee and Elasticity Inputs'!$B$10), IF(T124="B", B124*(1+'Input Fee and Elasticity Inputs'!$B$11), B124*(1+'Input Fee and Elasticity Inputs'!$B$12))))</f>
        <v>29206.8</v>
      </c>
      <c r="Y124" s="33">
        <f t="shared" si="10"/>
        <v>5.58</v>
      </c>
      <c r="Z124" s="33">
        <f t="shared" si="11"/>
        <v>162973.944</v>
      </c>
      <c r="AA124" s="33">
        <f t="shared" si="12"/>
        <v>-8577.576</v>
      </c>
    </row>
    <row r="125">
      <c r="A125" s="3" t="s">
        <v>133</v>
      </c>
      <c r="B125" s="4">
        <v>28908.0</v>
      </c>
      <c r="C125" s="5">
        <v>8.0</v>
      </c>
      <c r="D125" s="5">
        <v>31.0</v>
      </c>
      <c r="E125" s="6">
        <v>0.16</v>
      </c>
      <c r="F125" s="7">
        <v>18.9</v>
      </c>
      <c r="G125" s="6">
        <v>0.27</v>
      </c>
      <c r="H125" s="8">
        <v>0.03</v>
      </c>
      <c r="I125" s="8">
        <v>0.013477483338</v>
      </c>
      <c r="J125" s="9">
        <v>9.0</v>
      </c>
      <c r="K125" s="29" t="str">
        <f t="shared" si="1"/>
        <v>SMB</v>
      </c>
      <c r="L125" s="30">
        <f t="shared" si="2"/>
        <v>5.103</v>
      </c>
      <c r="M125" s="31">
        <f>PERCENTRANK(B$2:B$201,B125)*'Input Resturant Brands Scoring '!$B$3</f>
        <v>13.37</v>
      </c>
      <c r="N125" s="32">
        <f>(1-PERCENTRANK(J$2:J$201,J125))*'Input Resturant Brands Scoring '!$B$5</f>
        <v>10.044</v>
      </c>
      <c r="O125" s="31">
        <f>(1-PERCENTRANK(I$2:I$201,I125))*'Input Resturant Brands Scoring '!$B$6</f>
        <v>10.668</v>
      </c>
      <c r="P125" s="31">
        <f t="shared" si="3"/>
        <v>20.712</v>
      </c>
      <c r="Q125" s="31">
        <f>PERCENTRANK(L$2:L$201,L125)*'Input Resturant Brands Scoring '!$B$7</f>
        <v>13.545</v>
      </c>
      <c r="R125" s="31">
        <f t="shared" si="4"/>
        <v>47.627</v>
      </c>
      <c r="S125" s="12">
        <f t="shared" si="5"/>
        <v>116</v>
      </c>
      <c r="T125" s="12" t="str">
        <f t="shared" si="13"/>
        <v>B</v>
      </c>
      <c r="U125" s="33">
        <f t="shared" si="7"/>
        <v>147517.524</v>
      </c>
      <c r="V125" s="13">
        <f t="shared" si="8"/>
        <v>0.29</v>
      </c>
      <c r="W125" s="34">
        <f t="shared" si="9"/>
        <v>0.02</v>
      </c>
      <c r="X125" s="4">
        <f>IF(T125="S", B125*(1+'Input Fee and Elasticity Inputs'!$B$9), IF(T125="A", B125*(1+'Input Fee and Elasticity Inputs'!$B$10), IF(T125="B", B125*(1+'Input Fee and Elasticity Inputs'!$B$11), B125*(1+'Input Fee and Elasticity Inputs'!$B$12))))</f>
        <v>27462.6</v>
      </c>
      <c r="Y125" s="33">
        <f t="shared" si="10"/>
        <v>5.481</v>
      </c>
      <c r="Z125" s="33">
        <f t="shared" si="11"/>
        <v>150522.5106</v>
      </c>
      <c r="AA125" s="33">
        <f t="shared" si="12"/>
        <v>3004.9866</v>
      </c>
    </row>
    <row r="126">
      <c r="A126" s="3" t="s">
        <v>134</v>
      </c>
      <c r="B126" s="4">
        <v>28896.0</v>
      </c>
      <c r="C126" s="5">
        <v>9.0</v>
      </c>
      <c r="D126" s="5">
        <v>69.0</v>
      </c>
      <c r="E126" s="6">
        <v>0.29</v>
      </c>
      <c r="F126" s="7">
        <v>21.2</v>
      </c>
      <c r="G126" s="6">
        <v>0.29</v>
      </c>
      <c r="H126" s="8">
        <v>0.0432</v>
      </c>
      <c r="I126" s="8">
        <v>0.019723351230000002</v>
      </c>
      <c r="J126" s="9">
        <v>8.0</v>
      </c>
      <c r="K126" s="29" t="str">
        <f t="shared" si="1"/>
        <v>SMB</v>
      </c>
      <c r="L126" s="30">
        <f t="shared" si="2"/>
        <v>6.148</v>
      </c>
      <c r="M126" s="31">
        <f>PERCENTRANK(B$2:B$201,B126)*'Input Resturant Brands Scoring '!$B$3</f>
        <v>13.195</v>
      </c>
      <c r="N126" s="32">
        <f>(1-PERCENTRANK(J$2:J$201,J126))*'Input Resturant Brands Scoring '!$B$5</f>
        <v>11.574</v>
      </c>
      <c r="O126" s="31">
        <f>(1-PERCENTRANK(I$2:I$201,I126))*'Input Resturant Brands Scoring '!$B$6</f>
        <v>5.364</v>
      </c>
      <c r="P126" s="31">
        <f t="shared" si="3"/>
        <v>16.938</v>
      </c>
      <c r="Q126" s="31">
        <f>PERCENTRANK(L$2:L$201,L126)*'Input Resturant Brands Scoring '!$B$7</f>
        <v>24.08</v>
      </c>
      <c r="R126" s="31">
        <f t="shared" si="4"/>
        <v>54.213</v>
      </c>
      <c r="S126" s="12">
        <f t="shared" si="5"/>
        <v>83</v>
      </c>
      <c r="T126" s="12" t="str">
        <f t="shared" si="13"/>
        <v>B</v>
      </c>
      <c r="U126" s="33">
        <f t="shared" si="7"/>
        <v>177652.608</v>
      </c>
      <c r="V126" s="13">
        <f t="shared" si="8"/>
        <v>0.3</v>
      </c>
      <c r="W126" s="34">
        <f t="shared" si="9"/>
        <v>0.01</v>
      </c>
      <c r="X126" s="4">
        <f>IF(T126="S", B126*(1+'Input Fee and Elasticity Inputs'!$B$9), IF(T126="A", B126*(1+'Input Fee and Elasticity Inputs'!$B$10), IF(T126="B", B126*(1+'Input Fee and Elasticity Inputs'!$B$11), B126*(1+'Input Fee and Elasticity Inputs'!$B$12))))</f>
        <v>27451.2</v>
      </c>
      <c r="Y126" s="33">
        <f t="shared" si="10"/>
        <v>6.36</v>
      </c>
      <c r="Z126" s="33">
        <f t="shared" si="11"/>
        <v>174589.632</v>
      </c>
      <c r="AA126" s="33">
        <f t="shared" si="12"/>
        <v>-3062.976</v>
      </c>
    </row>
    <row r="127">
      <c r="A127" s="3" t="s">
        <v>135</v>
      </c>
      <c r="B127" s="4">
        <v>28620.0</v>
      </c>
      <c r="C127" s="5">
        <v>9.0</v>
      </c>
      <c r="D127" s="5">
        <v>25.0</v>
      </c>
      <c r="E127" s="6">
        <v>0.47</v>
      </c>
      <c r="F127" s="7">
        <v>27.3</v>
      </c>
      <c r="G127" s="6">
        <v>0.27</v>
      </c>
      <c r="H127" s="8">
        <v>0.0996</v>
      </c>
      <c r="I127" s="8">
        <v>0.021550879218</v>
      </c>
      <c r="J127" s="9">
        <v>19.0</v>
      </c>
      <c r="K127" s="29" t="str">
        <f t="shared" si="1"/>
        <v>SMB</v>
      </c>
      <c r="L127" s="30">
        <f t="shared" si="2"/>
        <v>7.371</v>
      </c>
      <c r="M127" s="31">
        <f>PERCENTRANK(B$2:B$201,B127)*'Input Resturant Brands Scoring '!$B$3</f>
        <v>13.02</v>
      </c>
      <c r="N127" s="32">
        <f>(1-PERCENTRANK(J$2:J$201,J127))*'Input Resturant Brands Scoring '!$B$5</f>
        <v>3.798</v>
      </c>
      <c r="O127" s="31">
        <f>(1-PERCENTRANK(I$2:I$201,I127))*'Input Resturant Brands Scoring '!$B$6</f>
        <v>4.764</v>
      </c>
      <c r="P127" s="31">
        <f t="shared" si="3"/>
        <v>8.562</v>
      </c>
      <c r="Q127" s="31">
        <f>PERCENTRANK(L$2:L$201,L127)*'Input Resturant Brands Scoring '!$B$7</f>
        <v>30.59</v>
      </c>
      <c r="R127" s="31">
        <f t="shared" si="4"/>
        <v>52.172</v>
      </c>
      <c r="S127" s="12">
        <f t="shared" si="5"/>
        <v>93</v>
      </c>
      <c r="T127" s="12" t="str">
        <f t="shared" si="13"/>
        <v>B</v>
      </c>
      <c r="U127" s="33">
        <f t="shared" si="7"/>
        <v>210958.02</v>
      </c>
      <c r="V127" s="13">
        <f t="shared" si="8"/>
        <v>0.29</v>
      </c>
      <c r="W127" s="34">
        <f t="shared" si="9"/>
        <v>0.02</v>
      </c>
      <c r="X127" s="4">
        <f>IF(T127="S", B127*(1+'Input Fee and Elasticity Inputs'!$B$9), IF(T127="A", B127*(1+'Input Fee and Elasticity Inputs'!$B$10), IF(T127="B", B127*(1+'Input Fee and Elasticity Inputs'!$B$11), B127*(1+'Input Fee and Elasticity Inputs'!$B$12))))</f>
        <v>27189</v>
      </c>
      <c r="Y127" s="33">
        <f t="shared" si="10"/>
        <v>7.917</v>
      </c>
      <c r="Z127" s="33">
        <f t="shared" si="11"/>
        <v>215255.313</v>
      </c>
      <c r="AA127" s="33">
        <f t="shared" si="12"/>
        <v>4297.293</v>
      </c>
    </row>
    <row r="128">
      <c r="A128" s="3" t="s">
        <v>136</v>
      </c>
      <c r="B128" s="4">
        <v>28512.0</v>
      </c>
      <c r="C128" s="5">
        <v>8.0</v>
      </c>
      <c r="D128" s="5">
        <v>10.0</v>
      </c>
      <c r="E128" s="6">
        <v>0.5</v>
      </c>
      <c r="F128" s="7">
        <v>32.2</v>
      </c>
      <c r="G128" s="6">
        <v>0.3</v>
      </c>
      <c r="H128" s="8">
        <v>0.0284</v>
      </c>
      <c r="I128" s="8">
        <v>0.021870495233999997</v>
      </c>
      <c r="J128" s="9">
        <v>6.0</v>
      </c>
      <c r="K128" s="29" t="str">
        <f t="shared" si="1"/>
        <v>SMB</v>
      </c>
      <c r="L128" s="30">
        <f t="shared" si="2"/>
        <v>9.66</v>
      </c>
      <c r="M128" s="31">
        <f>PERCENTRANK(B$2:B$201,B128)*'Input Resturant Brands Scoring '!$B$3</f>
        <v>12.845</v>
      </c>
      <c r="N128" s="32">
        <f>(1-PERCENTRANK(J$2:J$201,J128))*'Input Resturant Brands Scoring '!$B$5</f>
        <v>14.022</v>
      </c>
      <c r="O128" s="31">
        <f>(1-PERCENTRANK(I$2:I$201,I128))*'Input Resturant Brands Scoring '!$B$6</f>
        <v>4.464</v>
      </c>
      <c r="P128" s="31">
        <f t="shared" si="3"/>
        <v>18.486</v>
      </c>
      <c r="Q128" s="31">
        <f>PERCENTRANK(L$2:L$201,L128)*'Input Resturant Brands Scoring '!$B$7</f>
        <v>34.65</v>
      </c>
      <c r="R128" s="31">
        <f t="shared" si="4"/>
        <v>65.981</v>
      </c>
      <c r="S128" s="12">
        <f t="shared" si="5"/>
        <v>32</v>
      </c>
      <c r="T128" s="12" t="str">
        <f t="shared" si="13"/>
        <v>A</v>
      </c>
      <c r="U128" s="33">
        <f t="shared" si="7"/>
        <v>275425.92</v>
      </c>
      <c r="V128" s="13">
        <f t="shared" si="8"/>
        <v>0.295</v>
      </c>
      <c r="W128" s="34">
        <f t="shared" si="9"/>
        <v>-0.005</v>
      </c>
      <c r="X128" s="4">
        <f>IF(T128="S", B128*(1+'Input Fee and Elasticity Inputs'!$B$9), IF(T128="A", B128*(1+'Input Fee and Elasticity Inputs'!$B$10), IF(T128="B", B128*(1+'Input Fee and Elasticity Inputs'!$B$11), B128*(1+'Input Fee and Elasticity Inputs'!$B$12))))</f>
        <v>31363.2</v>
      </c>
      <c r="Y128" s="33">
        <f t="shared" si="10"/>
        <v>9.499</v>
      </c>
      <c r="Z128" s="33">
        <f t="shared" si="11"/>
        <v>297919.0368</v>
      </c>
      <c r="AA128" s="33">
        <f t="shared" si="12"/>
        <v>22493.1168</v>
      </c>
    </row>
    <row r="129">
      <c r="A129" s="3" t="s">
        <v>137</v>
      </c>
      <c r="B129" s="4">
        <v>28080.0</v>
      </c>
      <c r="C129" s="5">
        <v>11.0</v>
      </c>
      <c r="D129" s="5">
        <v>24.0</v>
      </c>
      <c r="E129" s="6">
        <v>0.06</v>
      </c>
      <c r="F129" s="7">
        <v>29.9</v>
      </c>
      <c r="G129" s="6">
        <v>0.3</v>
      </c>
      <c r="H129" s="8">
        <v>0.088</v>
      </c>
      <c r="I129" s="8">
        <v>0.01741001934</v>
      </c>
      <c r="J129" s="9">
        <v>29.0</v>
      </c>
      <c r="K129" s="29" t="str">
        <f t="shared" si="1"/>
        <v>SMB</v>
      </c>
      <c r="L129" s="30">
        <f t="shared" si="2"/>
        <v>8.97</v>
      </c>
      <c r="M129" s="31">
        <f>PERCENTRANK(B$2:B$201,B129)*'Input Resturant Brands Scoring '!$B$3</f>
        <v>12.495</v>
      </c>
      <c r="N129" s="32">
        <f>(1-PERCENTRANK(J$2:J$201,J129))*'Input Resturant Brands Scoring '!$B$5</f>
        <v>1.44</v>
      </c>
      <c r="O129" s="31">
        <f>(1-PERCENTRANK(I$2:I$201,I129))*'Input Resturant Brands Scoring '!$B$6</f>
        <v>6.816</v>
      </c>
      <c r="P129" s="31">
        <f t="shared" si="3"/>
        <v>8.256</v>
      </c>
      <c r="Q129" s="31">
        <f>PERCENTRANK(L$2:L$201,L129)*'Input Resturant Brands Scoring '!$B$7</f>
        <v>34.125</v>
      </c>
      <c r="R129" s="31">
        <f t="shared" si="4"/>
        <v>54.876</v>
      </c>
      <c r="S129" s="12">
        <f t="shared" si="5"/>
        <v>76</v>
      </c>
      <c r="T129" s="12" t="str">
        <f t="shared" si="13"/>
        <v>B</v>
      </c>
      <c r="U129" s="33">
        <f t="shared" si="7"/>
        <v>251877.6</v>
      </c>
      <c r="V129" s="13">
        <f t="shared" si="8"/>
        <v>0.3</v>
      </c>
      <c r="W129" s="34">
        <f t="shared" si="9"/>
        <v>0</v>
      </c>
      <c r="X129" s="4">
        <f>IF(T129="S", B129*(1+'Input Fee and Elasticity Inputs'!$B$9), IF(T129="A", B129*(1+'Input Fee and Elasticity Inputs'!$B$10), IF(T129="B", B129*(1+'Input Fee and Elasticity Inputs'!$B$11), B129*(1+'Input Fee and Elasticity Inputs'!$B$12))))</f>
        <v>26676</v>
      </c>
      <c r="Y129" s="33">
        <f t="shared" si="10"/>
        <v>8.97</v>
      </c>
      <c r="Z129" s="33">
        <f t="shared" si="11"/>
        <v>239283.72</v>
      </c>
      <c r="AA129" s="33">
        <f t="shared" si="12"/>
        <v>-12593.88</v>
      </c>
    </row>
    <row r="130">
      <c r="A130" s="3" t="s">
        <v>138</v>
      </c>
      <c r="B130" s="4">
        <v>28080.0</v>
      </c>
      <c r="C130" s="5">
        <v>7.0</v>
      </c>
      <c r="D130" s="5">
        <v>26.0</v>
      </c>
      <c r="E130" s="6">
        <v>0.21</v>
      </c>
      <c r="F130" s="7">
        <v>15.4</v>
      </c>
      <c r="G130" s="6">
        <v>0.3</v>
      </c>
      <c r="H130" s="8">
        <v>0.0272</v>
      </c>
      <c r="I130" s="8">
        <v>0.01867707036</v>
      </c>
      <c r="J130" s="9">
        <v>11.0</v>
      </c>
      <c r="K130" s="29" t="str">
        <f t="shared" si="1"/>
        <v>SMB</v>
      </c>
      <c r="L130" s="30">
        <f t="shared" si="2"/>
        <v>4.62</v>
      </c>
      <c r="M130" s="31">
        <f>PERCENTRANK(B$2:B$201,B130)*'Input Resturant Brands Scoring '!$B$3</f>
        <v>12.495</v>
      </c>
      <c r="N130" s="32">
        <f>(1-PERCENTRANK(J$2:J$201,J130))*'Input Resturant Brands Scoring '!$B$5</f>
        <v>8.136</v>
      </c>
      <c r="O130" s="31">
        <f>(1-PERCENTRANK(I$2:I$201,I130))*'Input Resturant Brands Scoring '!$B$6</f>
        <v>5.964</v>
      </c>
      <c r="P130" s="31">
        <f t="shared" si="3"/>
        <v>14.1</v>
      </c>
      <c r="Q130" s="31">
        <f>PERCENTRANK(L$2:L$201,L130)*'Input Resturant Brands Scoring '!$B$7</f>
        <v>8.96</v>
      </c>
      <c r="R130" s="31">
        <f t="shared" si="4"/>
        <v>35.555</v>
      </c>
      <c r="S130" s="12">
        <f t="shared" si="5"/>
        <v>166</v>
      </c>
      <c r="T130" s="12" t="str">
        <f t="shared" si="13"/>
        <v>C</v>
      </c>
      <c r="U130" s="33">
        <f t="shared" si="7"/>
        <v>129729.6</v>
      </c>
      <c r="V130" s="13">
        <f t="shared" si="8"/>
        <v>0.3</v>
      </c>
      <c r="W130" s="34">
        <f t="shared" si="9"/>
        <v>0</v>
      </c>
      <c r="X130" s="4">
        <f>IF(T130="S", B130*(1+'Input Fee and Elasticity Inputs'!$B$9), IF(T130="A", B130*(1+'Input Fee and Elasticity Inputs'!$B$10), IF(T130="B", B130*(1+'Input Fee and Elasticity Inputs'!$B$11), B130*(1+'Input Fee and Elasticity Inputs'!$B$12))))</f>
        <v>23868</v>
      </c>
      <c r="Y130" s="33">
        <f t="shared" si="10"/>
        <v>4.62</v>
      </c>
      <c r="Z130" s="33">
        <f t="shared" si="11"/>
        <v>110270.16</v>
      </c>
      <c r="AA130" s="33">
        <f t="shared" si="12"/>
        <v>-19459.44</v>
      </c>
    </row>
    <row r="131">
      <c r="A131" s="3" t="s">
        <v>139</v>
      </c>
      <c r="B131" s="4">
        <v>27984.0</v>
      </c>
      <c r="C131" s="5">
        <v>14.0</v>
      </c>
      <c r="D131" s="5">
        <v>18.0</v>
      </c>
      <c r="E131" s="6">
        <v>0.28</v>
      </c>
      <c r="F131" s="7">
        <v>17.8</v>
      </c>
      <c r="G131" s="6">
        <v>0.28</v>
      </c>
      <c r="H131" s="8">
        <v>0.0544</v>
      </c>
      <c r="I131" s="8">
        <v>0.02317128093</v>
      </c>
      <c r="J131" s="9">
        <v>11.0</v>
      </c>
      <c r="K131" s="29" t="str">
        <f t="shared" si="1"/>
        <v>SMB</v>
      </c>
      <c r="L131" s="30">
        <f t="shared" si="2"/>
        <v>4.984</v>
      </c>
      <c r="M131" s="31">
        <f>PERCENTRANK(B$2:B$201,B131)*'Input Resturant Brands Scoring '!$B$3</f>
        <v>12.32</v>
      </c>
      <c r="N131" s="32">
        <f>(1-PERCENTRANK(J$2:J$201,J131))*'Input Resturant Brands Scoring '!$B$5</f>
        <v>8.136</v>
      </c>
      <c r="O131" s="31">
        <f>(1-PERCENTRANK(I$2:I$201,I131))*'Input Resturant Brands Scoring '!$B$6</f>
        <v>3.684</v>
      </c>
      <c r="P131" s="31">
        <f t="shared" si="3"/>
        <v>11.82</v>
      </c>
      <c r="Q131" s="31">
        <f>PERCENTRANK(L$2:L$201,L131)*'Input Resturant Brands Scoring '!$B$7</f>
        <v>12.495</v>
      </c>
      <c r="R131" s="31">
        <f t="shared" si="4"/>
        <v>36.635</v>
      </c>
      <c r="S131" s="12">
        <f t="shared" si="5"/>
        <v>157</v>
      </c>
      <c r="T131" s="12" t="str">
        <f t="shared" si="13"/>
        <v>C</v>
      </c>
      <c r="U131" s="33">
        <f t="shared" si="7"/>
        <v>139472.256</v>
      </c>
      <c r="V131" s="13">
        <f t="shared" si="8"/>
        <v>0.3</v>
      </c>
      <c r="W131" s="34">
        <f t="shared" si="9"/>
        <v>0.02</v>
      </c>
      <c r="X131" s="4">
        <f>IF(T131="S", B131*(1+'Input Fee and Elasticity Inputs'!$B$9), IF(T131="A", B131*(1+'Input Fee and Elasticity Inputs'!$B$10), IF(T131="B", B131*(1+'Input Fee and Elasticity Inputs'!$B$11), B131*(1+'Input Fee and Elasticity Inputs'!$B$12))))</f>
        <v>23786.4</v>
      </c>
      <c r="Y131" s="33">
        <f t="shared" si="10"/>
        <v>5.34</v>
      </c>
      <c r="Z131" s="33">
        <f t="shared" si="11"/>
        <v>127019.376</v>
      </c>
      <c r="AA131" s="33">
        <f t="shared" si="12"/>
        <v>-12452.88</v>
      </c>
    </row>
    <row r="132">
      <c r="A132" s="3" t="s">
        <v>140</v>
      </c>
      <c r="B132" s="4">
        <v>27840.0</v>
      </c>
      <c r="C132" s="5">
        <v>6.0</v>
      </c>
      <c r="D132" s="5">
        <v>55.0</v>
      </c>
      <c r="E132" s="6">
        <v>0.58</v>
      </c>
      <c r="F132" s="7">
        <v>28.3</v>
      </c>
      <c r="G132" s="6">
        <v>0.23</v>
      </c>
      <c r="H132" s="8">
        <v>0.1064</v>
      </c>
      <c r="I132" s="8">
        <v>0.016064151282</v>
      </c>
      <c r="J132" s="9">
        <v>36.0</v>
      </c>
      <c r="K132" s="29" t="str">
        <f t="shared" si="1"/>
        <v>SMB</v>
      </c>
      <c r="L132" s="30">
        <f t="shared" si="2"/>
        <v>6.509</v>
      </c>
      <c r="M132" s="31">
        <f>PERCENTRANK(B$2:B$201,B132)*'Input Resturant Brands Scoring '!$B$3</f>
        <v>12.145</v>
      </c>
      <c r="N132" s="32">
        <f>(1-PERCENTRANK(J$2:J$201,J132))*'Input Resturant Brands Scoring '!$B$5</f>
        <v>0.9</v>
      </c>
      <c r="O132" s="31">
        <f>(1-PERCENTRANK(I$2:I$201,I132))*'Input Resturant Brands Scoring '!$B$6</f>
        <v>8.016</v>
      </c>
      <c r="P132" s="31">
        <f t="shared" si="3"/>
        <v>8.916</v>
      </c>
      <c r="Q132" s="31">
        <f>PERCENTRANK(L$2:L$201,L132)*'Input Resturant Brands Scoring '!$B$7</f>
        <v>25.865</v>
      </c>
      <c r="R132" s="31">
        <f t="shared" si="4"/>
        <v>46.926</v>
      </c>
      <c r="S132" s="12">
        <f t="shared" si="5"/>
        <v>122</v>
      </c>
      <c r="T132" s="12" t="str">
        <f t="shared" si="13"/>
        <v>B</v>
      </c>
      <c r="U132" s="33">
        <f t="shared" si="7"/>
        <v>181210.56</v>
      </c>
      <c r="V132" s="13">
        <f t="shared" si="8"/>
        <v>0.25</v>
      </c>
      <c r="W132" s="34">
        <f t="shared" si="9"/>
        <v>0.02</v>
      </c>
      <c r="X132" s="4">
        <f>IF(T132="S", B132*(1+'Input Fee and Elasticity Inputs'!$B$9), IF(T132="A", B132*(1+'Input Fee and Elasticity Inputs'!$B$10), IF(T132="B", B132*(1+'Input Fee and Elasticity Inputs'!$B$11), B132*(1+'Input Fee and Elasticity Inputs'!$B$12))))</f>
        <v>26448</v>
      </c>
      <c r="Y132" s="33">
        <f t="shared" si="10"/>
        <v>7.075</v>
      </c>
      <c r="Z132" s="33">
        <f t="shared" si="11"/>
        <v>187119.6</v>
      </c>
      <c r="AA132" s="33">
        <f t="shared" si="12"/>
        <v>5909.04</v>
      </c>
    </row>
    <row r="133">
      <c r="A133" s="3" t="s">
        <v>141</v>
      </c>
      <c r="B133" s="4">
        <v>27648.0</v>
      </c>
      <c r="C133" s="5">
        <v>6.0</v>
      </c>
      <c r="D133" s="5">
        <v>19.0</v>
      </c>
      <c r="E133" s="6">
        <v>0.67</v>
      </c>
      <c r="F133" s="7">
        <v>26.9</v>
      </c>
      <c r="G133" s="6">
        <v>0.3</v>
      </c>
      <c r="H133" s="8">
        <v>0.0968</v>
      </c>
      <c r="I133" s="8">
        <v>0.01450638516</v>
      </c>
      <c r="J133" s="9">
        <v>44.0</v>
      </c>
      <c r="K133" s="29" t="str">
        <f t="shared" si="1"/>
        <v>SMB</v>
      </c>
      <c r="L133" s="30">
        <f t="shared" si="2"/>
        <v>8.07</v>
      </c>
      <c r="M133" s="31">
        <f>PERCENTRANK(B$2:B$201,B133)*'Input Resturant Brands Scoring '!$B$3</f>
        <v>11.97</v>
      </c>
      <c r="N133" s="32">
        <f>(1-PERCENTRANK(J$2:J$201,J133))*'Input Resturant Brands Scoring '!$B$5</f>
        <v>0.36</v>
      </c>
      <c r="O133" s="31">
        <f>(1-PERCENTRANK(I$2:I$201,I133))*'Input Resturant Brands Scoring '!$B$6</f>
        <v>8.928</v>
      </c>
      <c r="P133" s="31">
        <f t="shared" si="3"/>
        <v>9.288</v>
      </c>
      <c r="Q133" s="31">
        <f>PERCENTRANK(L$2:L$201,L133)*'Input Resturant Brands Scoring '!$B$7</f>
        <v>32.725</v>
      </c>
      <c r="R133" s="31">
        <f t="shared" si="4"/>
        <v>53.983</v>
      </c>
      <c r="S133" s="12">
        <f t="shared" si="5"/>
        <v>86</v>
      </c>
      <c r="T133" s="12" t="str">
        <f t="shared" si="13"/>
        <v>B</v>
      </c>
      <c r="U133" s="33">
        <f t="shared" si="7"/>
        <v>223119.36</v>
      </c>
      <c r="V133" s="13">
        <f t="shared" si="8"/>
        <v>0.3</v>
      </c>
      <c r="W133" s="34">
        <f t="shared" si="9"/>
        <v>0</v>
      </c>
      <c r="X133" s="4">
        <f>IF(T133="S", B133*(1+'Input Fee and Elasticity Inputs'!$B$9), IF(T133="A", B133*(1+'Input Fee and Elasticity Inputs'!$B$10), IF(T133="B", B133*(1+'Input Fee and Elasticity Inputs'!$B$11), B133*(1+'Input Fee and Elasticity Inputs'!$B$12))))</f>
        <v>26265.6</v>
      </c>
      <c r="Y133" s="33">
        <f t="shared" si="10"/>
        <v>8.07</v>
      </c>
      <c r="Z133" s="33">
        <f t="shared" si="11"/>
        <v>211963.392</v>
      </c>
      <c r="AA133" s="33">
        <f t="shared" si="12"/>
        <v>-11155.968</v>
      </c>
    </row>
    <row r="134">
      <c r="A134" s="3" t="s">
        <v>142</v>
      </c>
      <c r="B134" s="4">
        <v>27432.0</v>
      </c>
      <c r="C134" s="5">
        <v>7.0</v>
      </c>
      <c r="D134" s="5">
        <v>18.0</v>
      </c>
      <c r="E134" s="6">
        <v>0.45</v>
      </c>
      <c r="F134" s="7">
        <v>25.0</v>
      </c>
      <c r="G134" s="6">
        <v>0.3</v>
      </c>
      <c r="H134" s="8">
        <v>0.1256</v>
      </c>
      <c r="I134" s="8">
        <v>0.014325890844</v>
      </c>
      <c r="J134" s="9">
        <v>22.0</v>
      </c>
      <c r="K134" s="29" t="str">
        <f t="shared" si="1"/>
        <v>SMB</v>
      </c>
      <c r="L134" s="30">
        <f t="shared" si="2"/>
        <v>7.5</v>
      </c>
      <c r="M134" s="31">
        <f>PERCENTRANK(B$2:B$201,B134)*'Input Resturant Brands Scoring '!$B$3</f>
        <v>11.795</v>
      </c>
      <c r="N134" s="32">
        <f>(1-PERCENTRANK(J$2:J$201,J134))*'Input Resturant Brands Scoring '!$B$5</f>
        <v>3.078</v>
      </c>
      <c r="O134" s="31">
        <f>(1-PERCENTRANK(I$2:I$201,I134))*'Input Resturant Brands Scoring '!$B$6</f>
        <v>9.348</v>
      </c>
      <c r="P134" s="31">
        <f t="shared" si="3"/>
        <v>12.426</v>
      </c>
      <c r="Q134" s="31">
        <f>PERCENTRANK(L$2:L$201,L134)*'Input Resturant Brands Scoring '!$B$7</f>
        <v>30.94</v>
      </c>
      <c r="R134" s="31">
        <f t="shared" si="4"/>
        <v>55.161</v>
      </c>
      <c r="S134" s="12">
        <f t="shared" si="5"/>
        <v>75</v>
      </c>
      <c r="T134" s="12" t="str">
        <f t="shared" si="13"/>
        <v>B</v>
      </c>
      <c r="U134" s="33">
        <f t="shared" si="7"/>
        <v>205740</v>
      </c>
      <c r="V134" s="13">
        <f t="shared" si="8"/>
        <v>0.3</v>
      </c>
      <c r="W134" s="34">
        <f t="shared" si="9"/>
        <v>0</v>
      </c>
      <c r="X134" s="4">
        <f>IF(T134="S", B134*(1+'Input Fee and Elasticity Inputs'!$B$9), IF(T134="A", B134*(1+'Input Fee and Elasticity Inputs'!$B$10), IF(T134="B", B134*(1+'Input Fee and Elasticity Inputs'!$B$11), B134*(1+'Input Fee and Elasticity Inputs'!$B$12))))</f>
        <v>26060.4</v>
      </c>
      <c r="Y134" s="33">
        <f t="shared" si="10"/>
        <v>7.5</v>
      </c>
      <c r="Z134" s="33">
        <f t="shared" si="11"/>
        <v>195453</v>
      </c>
      <c r="AA134" s="33">
        <f t="shared" si="12"/>
        <v>-10287</v>
      </c>
    </row>
    <row r="135">
      <c r="A135" s="3" t="s">
        <v>143</v>
      </c>
      <c r="B135" s="4">
        <v>27300.0</v>
      </c>
      <c r="C135" s="5">
        <v>8.0</v>
      </c>
      <c r="D135" s="5">
        <v>44.0</v>
      </c>
      <c r="E135" s="6">
        <v>0.05</v>
      </c>
      <c r="F135" s="7">
        <v>16.2</v>
      </c>
      <c r="G135" s="6">
        <v>0.28</v>
      </c>
      <c r="H135" s="8">
        <v>0.0212</v>
      </c>
      <c r="I135" s="8">
        <v>0.021603512015999998</v>
      </c>
      <c r="J135" s="9">
        <v>5.0</v>
      </c>
      <c r="K135" s="29" t="str">
        <f t="shared" si="1"/>
        <v>SMB</v>
      </c>
      <c r="L135" s="30">
        <f t="shared" si="2"/>
        <v>4.536</v>
      </c>
      <c r="M135" s="31">
        <f>PERCENTRANK(B$2:B$201,B135)*'Input Resturant Brands Scoring '!$B$3</f>
        <v>11.62</v>
      </c>
      <c r="N135" s="32">
        <f>(1-PERCENTRANK(J$2:J$201,J135))*'Input Resturant Brands Scoring '!$B$5</f>
        <v>15.462</v>
      </c>
      <c r="O135" s="31">
        <f>(1-PERCENTRANK(I$2:I$201,I135))*'Input Resturant Brands Scoring '!$B$6</f>
        <v>4.704</v>
      </c>
      <c r="P135" s="31">
        <f t="shared" si="3"/>
        <v>20.166</v>
      </c>
      <c r="Q135" s="31">
        <f>PERCENTRANK(L$2:L$201,L135)*'Input Resturant Brands Scoring '!$B$7</f>
        <v>7.91</v>
      </c>
      <c r="R135" s="31">
        <f t="shared" si="4"/>
        <v>39.696</v>
      </c>
      <c r="S135" s="12">
        <f t="shared" si="5"/>
        <v>149</v>
      </c>
      <c r="T135" s="12" t="str">
        <f t="shared" si="13"/>
        <v>B</v>
      </c>
      <c r="U135" s="33">
        <f t="shared" si="7"/>
        <v>123832.8</v>
      </c>
      <c r="V135" s="13">
        <f t="shared" si="8"/>
        <v>0.3</v>
      </c>
      <c r="W135" s="34">
        <f t="shared" si="9"/>
        <v>0.02</v>
      </c>
      <c r="X135" s="4">
        <f>IF(T135="S", B135*(1+'Input Fee and Elasticity Inputs'!$B$9), IF(T135="A", B135*(1+'Input Fee and Elasticity Inputs'!$B$10), IF(T135="B", B135*(1+'Input Fee and Elasticity Inputs'!$B$11), B135*(1+'Input Fee and Elasticity Inputs'!$B$12))))</f>
        <v>25935</v>
      </c>
      <c r="Y135" s="33">
        <f t="shared" si="10"/>
        <v>4.86</v>
      </c>
      <c r="Z135" s="33">
        <f t="shared" si="11"/>
        <v>126044.1</v>
      </c>
      <c r="AA135" s="33">
        <f t="shared" si="12"/>
        <v>2211.3</v>
      </c>
    </row>
    <row r="136">
      <c r="A136" s="3" t="s">
        <v>144</v>
      </c>
      <c r="B136" s="4">
        <v>27216.0</v>
      </c>
      <c r="C136" s="5">
        <v>8.0</v>
      </c>
      <c r="D136" s="5">
        <v>15.0</v>
      </c>
      <c r="E136" s="6">
        <v>0.54</v>
      </c>
      <c r="F136" s="7">
        <v>27.9</v>
      </c>
      <c r="G136" s="6">
        <v>0.29</v>
      </c>
      <c r="H136" s="8">
        <v>0.0556</v>
      </c>
      <c r="I136" s="8">
        <v>0.016650268776</v>
      </c>
      <c r="J136" s="9">
        <v>10.0</v>
      </c>
      <c r="K136" s="29" t="str">
        <f t="shared" si="1"/>
        <v>SMB</v>
      </c>
      <c r="L136" s="30">
        <f t="shared" si="2"/>
        <v>8.091</v>
      </c>
      <c r="M136" s="31">
        <f>PERCENTRANK(B$2:B$201,B136)*'Input Resturant Brands Scoring '!$B$3</f>
        <v>11.445</v>
      </c>
      <c r="N136" s="32">
        <f>(1-PERCENTRANK(J$2:J$201,J136))*'Input Resturant Brands Scoring '!$B$5</f>
        <v>9.054</v>
      </c>
      <c r="O136" s="31">
        <f>(1-PERCENTRANK(I$2:I$201,I136))*'Input Resturant Brands Scoring '!$B$6</f>
        <v>7.296</v>
      </c>
      <c r="P136" s="31">
        <f t="shared" si="3"/>
        <v>16.35</v>
      </c>
      <c r="Q136" s="31">
        <f>PERCENTRANK(L$2:L$201,L136)*'Input Resturant Brands Scoring '!$B$7</f>
        <v>33.075</v>
      </c>
      <c r="R136" s="31">
        <f t="shared" si="4"/>
        <v>60.87</v>
      </c>
      <c r="S136" s="12">
        <f t="shared" si="5"/>
        <v>52</v>
      </c>
      <c r="T136" s="12" t="str">
        <f t="shared" si="13"/>
        <v>B</v>
      </c>
      <c r="U136" s="33">
        <f t="shared" si="7"/>
        <v>220204.656</v>
      </c>
      <c r="V136" s="13">
        <f t="shared" si="8"/>
        <v>0.3</v>
      </c>
      <c r="W136" s="34">
        <f t="shared" si="9"/>
        <v>0.01</v>
      </c>
      <c r="X136" s="4">
        <f>IF(T136="S", B136*(1+'Input Fee and Elasticity Inputs'!$B$9), IF(T136="A", B136*(1+'Input Fee and Elasticity Inputs'!$B$10), IF(T136="B", B136*(1+'Input Fee and Elasticity Inputs'!$B$11), B136*(1+'Input Fee and Elasticity Inputs'!$B$12))))</f>
        <v>25855.2</v>
      </c>
      <c r="Y136" s="33">
        <f t="shared" si="10"/>
        <v>8.37</v>
      </c>
      <c r="Z136" s="33">
        <f t="shared" si="11"/>
        <v>216408.024</v>
      </c>
      <c r="AA136" s="33">
        <f t="shared" si="12"/>
        <v>-3796.632</v>
      </c>
    </row>
    <row r="137">
      <c r="A137" s="3" t="s">
        <v>145</v>
      </c>
      <c r="B137" s="4">
        <v>26352.0</v>
      </c>
      <c r="C137" s="5">
        <v>8.0</v>
      </c>
      <c r="D137" s="5">
        <v>38.0</v>
      </c>
      <c r="E137" s="6">
        <v>0.35</v>
      </c>
      <c r="F137" s="7">
        <v>18.9</v>
      </c>
      <c r="G137" s="6">
        <v>0.29</v>
      </c>
      <c r="H137" s="8">
        <v>0.0584</v>
      </c>
      <c r="I137" s="8">
        <v>0.021098070599999998</v>
      </c>
      <c r="J137" s="9">
        <v>9.0</v>
      </c>
      <c r="K137" s="29" t="str">
        <f t="shared" si="1"/>
        <v>SMB</v>
      </c>
      <c r="L137" s="30">
        <f t="shared" si="2"/>
        <v>5.481</v>
      </c>
      <c r="M137" s="31">
        <f>PERCENTRANK(B$2:B$201,B137)*'Input Resturant Brands Scoring '!$B$3</f>
        <v>11.27</v>
      </c>
      <c r="N137" s="32">
        <f>(1-PERCENTRANK(J$2:J$201,J137))*'Input Resturant Brands Scoring '!$B$5</f>
        <v>10.044</v>
      </c>
      <c r="O137" s="31">
        <f>(1-PERCENTRANK(I$2:I$201,I137))*'Input Resturant Brands Scoring '!$B$6</f>
        <v>4.824</v>
      </c>
      <c r="P137" s="31">
        <f t="shared" si="3"/>
        <v>14.868</v>
      </c>
      <c r="Q137" s="31">
        <f>PERCENTRANK(L$2:L$201,L137)*'Input Resturant Brands Scoring '!$B$7</f>
        <v>18.655</v>
      </c>
      <c r="R137" s="31">
        <f t="shared" si="4"/>
        <v>44.793</v>
      </c>
      <c r="S137" s="12">
        <f t="shared" si="5"/>
        <v>133</v>
      </c>
      <c r="T137" s="12" t="str">
        <f t="shared" si="13"/>
        <v>B</v>
      </c>
      <c r="U137" s="33">
        <f t="shared" si="7"/>
        <v>144435.312</v>
      </c>
      <c r="V137" s="13">
        <f t="shared" si="8"/>
        <v>0.3</v>
      </c>
      <c r="W137" s="34">
        <f t="shared" si="9"/>
        <v>0.01</v>
      </c>
      <c r="X137" s="4">
        <f>IF(T137="S", B137*(1+'Input Fee and Elasticity Inputs'!$B$9), IF(T137="A", B137*(1+'Input Fee and Elasticity Inputs'!$B$10), IF(T137="B", B137*(1+'Input Fee and Elasticity Inputs'!$B$11), B137*(1+'Input Fee and Elasticity Inputs'!$B$12))))</f>
        <v>25034.4</v>
      </c>
      <c r="Y137" s="33">
        <f t="shared" si="10"/>
        <v>5.67</v>
      </c>
      <c r="Z137" s="33">
        <f t="shared" si="11"/>
        <v>141945.048</v>
      </c>
      <c r="AA137" s="33">
        <f t="shared" si="12"/>
        <v>-2490.264</v>
      </c>
    </row>
    <row r="138">
      <c r="A138" s="3" t="s">
        <v>146</v>
      </c>
      <c r="B138" s="4">
        <v>26160.0</v>
      </c>
      <c r="C138" s="5">
        <v>7.0</v>
      </c>
      <c r="D138" s="5">
        <v>16.0</v>
      </c>
      <c r="E138" s="6">
        <v>0.93</v>
      </c>
      <c r="F138" s="7">
        <v>22.2</v>
      </c>
      <c r="G138" s="6">
        <v>0.3</v>
      </c>
      <c r="H138" s="8">
        <v>0.082</v>
      </c>
      <c r="I138" s="8">
        <v>0.014848584809999999</v>
      </c>
      <c r="J138" s="9">
        <v>8.0</v>
      </c>
      <c r="K138" s="29" t="str">
        <f t="shared" si="1"/>
        <v>SMB</v>
      </c>
      <c r="L138" s="30">
        <f t="shared" si="2"/>
        <v>6.66</v>
      </c>
      <c r="M138" s="31">
        <f>PERCENTRANK(B$2:B$201,B138)*'Input Resturant Brands Scoring '!$B$3</f>
        <v>11.095</v>
      </c>
      <c r="N138" s="32">
        <f>(1-PERCENTRANK(J$2:J$201,J138))*'Input Resturant Brands Scoring '!$B$5</f>
        <v>11.574</v>
      </c>
      <c r="O138" s="31">
        <f>(1-PERCENTRANK(I$2:I$201,I138))*'Input Resturant Brands Scoring '!$B$6</f>
        <v>8.748</v>
      </c>
      <c r="P138" s="31">
        <f t="shared" si="3"/>
        <v>20.322</v>
      </c>
      <c r="Q138" s="31">
        <f>PERCENTRANK(L$2:L$201,L138)*'Input Resturant Brands Scoring '!$B$7</f>
        <v>27.09</v>
      </c>
      <c r="R138" s="31">
        <f t="shared" si="4"/>
        <v>58.507</v>
      </c>
      <c r="S138" s="12">
        <f t="shared" si="5"/>
        <v>58</v>
      </c>
      <c r="T138" s="12" t="str">
        <f t="shared" si="13"/>
        <v>B</v>
      </c>
      <c r="U138" s="33">
        <f t="shared" si="7"/>
        <v>174225.6</v>
      </c>
      <c r="V138" s="13">
        <f t="shared" si="8"/>
        <v>0.3</v>
      </c>
      <c r="W138" s="34">
        <f t="shared" si="9"/>
        <v>0</v>
      </c>
      <c r="X138" s="4">
        <f>IF(T138="S", B138*(1+'Input Fee and Elasticity Inputs'!$B$9), IF(T138="A", B138*(1+'Input Fee and Elasticity Inputs'!$B$10), IF(T138="B", B138*(1+'Input Fee and Elasticity Inputs'!$B$11), B138*(1+'Input Fee and Elasticity Inputs'!$B$12))))</f>
        <v>24852</v>
      </c>
      <c r="Y138" s="33">
        <f t="shared" si="10"/>
        <v>6.66</v>
      </c>
      <c r="Z138" s="33">
        <f t="shared" si="11"/>
        <v>165514.32</v>
      </c>
      <c r="AA138" s="33">
        <f t="shared" si="12"/>
        <v>-8711.28</v>
      </c>
    </row>
    <row r="139">
      <c r="A139" s="3" t="s">
        <v>147</v>
      </c>
      <c r="B139" s="4">
        <v>26052.0</v>
      </c>
      <c r="C139" s="5">
        <v>8.0</v>
      </c>
      <c r="D139" s="5">
        <v>9.0</v>
      </c>
      <c r="E139" s="6">
        <v>0.19</v>
      </c>
      <c r="F139" s="7">
        <v>17.3</v>
      </c>
      <c r="G139" s="6">
        <v>0.28</v>
      </c>
      <c r="H139" s="8">
        <v>0.2052</v>
      </c>
      <c r="I139" s="8">
        <v>0.022229953038</v>
      </c>
      <c r="J139" s="9">
        <v>7.0</v>
      </c>
      <c r="K139" s="29" t="str">
        <f t="shared" si="1"/>
        <v>SMB</v>
      </c>
      <c r="L139" s="30">
        <f t="shared" si="2"/>
        <v>4.844</v>
      </c>
      <c r="M139" s="31">
        <f>PERCENTRANK(B$2:B$201,B139)*'Input Resturant Brands Scoring '!$B$3</f>
        <v>10.92</v>
      </c>
      <c r="N139" s="32">
        <f>(1-PERCENTRANK(J$2:J$201,J139))*'Input Resturant Brands Scoring '!$B$5</f>
        <v>12.204</v>
      </c>
      <c r="O139" s="31">
        <f>(1-PERCENTRANK(I$2:I$201,I139))*'Input Resturant Brands Scoring '!$B$6</f>
        <v>4.404</v>
      </c>
      <c r="P139" s="31">
        <f t="shared" si="3"/>
        <v>16.608</v>
      </c>
      <c r="Q139" s="31">
        <f>PERCENTRANK(L$2:L$201,L139)*'Input Resturant Brands Scoring '!$B$7</f>
        <v>11.795</v>
      </c>
      <c r="R139" s="31">
        <f t="shared" si="4"/>
        <v>39.323</v>
      </c>
      <c r="S139" s="12">
        <f t="shared" si="5"/>
        <v>151</v>
      </c>
      <c r="T139" s="12" t="str">
        <f t="shared" si="13"/>
        <v>C</v>
      </c>
      <c r="U139" s="33">
        <f t="shared" si="7"/>
        <v>126195.888</v>
      </c>
      <c r="V139" s="13">
        <f t="shared" si="8"/>
        <v>0.3</v>
      </c>
      <c r="W139" s="34">
        <f t="shared" si="9"/>
        <v>0.02</v>
      </c>
      <c r="X139" s="4">
        <f>IF(T139="S", B139*(1+'Input Fee and Elasticity Inputs'!$B$9), IF(T139="A", B139*(1+'Input Fee and Elasticity Inputs'!$B$10), IF(T139="B", B139*(1+'Input Fee and Elasticity Inputs'!$B$11), B139*(1+'Input Fee and Elasticity Inputs'!$B$12))))</f>
        <v>22144.2</v>
      </c>
      <c r="Y139" s="33">
        <f t="shared" si="10"/>
        <v>5.19</v>
      </c>
      <c r="Z139" s="33">
        <f t="shared" si="11"/>
        <v>114928.398</v>
      </c>
      <c r="AA139" s="33">
        <f t="shared" si="12"/>
        <v>-11267.49</v>
      </c>
    </row>
    <row r="140">
      <c r="A140" s="3" t="s">
        <v>148</v>
      </c>
      <c r="B140" s="4">
        <v>25872.0</v>
      </c>
      <c r="C140" s="5">
        <v>8.0</v>
      </c>
      <c r="D140" s="5">
        <v>10.0</v>
      </c>
      <c r="E140" s="6">
        <v>0.3</v>
      </c>
      <c r="F140" s="7">
        <v>19.5</v>
      </c>
      <c r="G140" s="6">
        <v>0.28</v>
      </c>
      <c r="H140" s="8">
        <v>0.0464</v>
      </c>
      <c r="I140" s="8">
        <v>0.014290978523999999</v>
      </c>
      <c r="J140" s="9">
        <v>13.0</v>
      </c>
      <c r="K140" s="29" t="str">
        <f t="shared" si="1"/>
        <v>SMB</v>
      </c>
      <c r="L140" s="30">
        <f t="shared" si="2"/>
        <v>5.46</v>
      </c>
      <c r="M140" s="31">
        <f>PERCENTRANK(B$2:B$201,B140)*'Input Resturant Brands Scoring '!$B$3</f>
        <v>10.745</v>
      </c>
      <c r="N140" s="32">
        <f>(1-PERCENTRANK(J$2:J$201,J140))*'Input Resturant Brands Scoring '!$B$5</f>
        <v>7.056</v>
      </c>
      <c r="O140" s="31">
        <f>(1-PERCENTRANK(I$2:I$201,I140))*'Input Resturant Brands Scoring '!$B$6</f>
        <v>9.528</v>
      </c>
      <c r="P140" s="31">
        <f t="shared" si="3"/>
        <v>16.584</v>
      </c>
      <c r="Q140" s="31">
        <f>PERCENTRANK(L$2:L$201,L140)*'Input Resturant Brands Scoring '!$B$7</f>
        <v>18.48</v>
      </c>
      <c r="R140" s="31">
        <f t="shared" si="4"/>
        <v>45.809</v>
      </c>
      <c r="S140" s="12">
        <f t="shared" si="5"/>
        <v>131</v>
      </c>
      <c r="T140" s="12" t="str">
        <f t="shared" si="13"/>
        <v>B</v>
      </c>
      <c r="U140" s="33">
        <f t="shared" si="7"/>
        <v>141261.12</v>
      </c>
      <c r="V140" s="13">
        <f t="shared" si="8"/>
        <v>0.3</v>
      </c>
      <c r="W140" s="34">
        <f t="shared" si="9"/>
        <v>0.02</v>
      </c>
      <c r="X140" s="4">
        <f>IF(T140="S", B140*(1+'Input Fee and Elasticity Inputs'!$B$9), IF(T140="A", B140*(1+'Input Fee and Elasticity Inputs'!$B$10), IF(T140="B", B140*(1+'Input Fee and Elasticity Inputs'!$B$11), B140*(1+'Input Fee and Elasticity Inputs'!$B$12))))</f>
        <v>24578.4</v>
      </c>
      <c r="Y140" s="33">
        <f t="shared" si="10"/>
        <v>5.85</v>
      </c>
      <c r="Z140" s="33">
        <f t="shared" si="11"/>
        <v>143783.64</v>
      </c>
      <c r="AA140" s="33">
        <f t="shared" si="12"/>
        <v>2522.52</v>
      </c>
    </row>
    <row r="141">
      <c r="A141" s="3" t="s">
        <v>149</v>
      </c>
      <c r="B141" s="4">
        <v>25380.0</v>
      </c>
      <c r="C141" s="5">
        <v>7.0</v>
      </c>
      <c r="D141" s="5">
        <v>23.0</v>
      </c>
      <c r="E141" s="6">
        <v>0.97</v>
      </c>
      <c r="F141" s="7">
        <v>21.1</v>
      </c>
      <c r="G141" s="6">
        <v>0.3</v>
      </c>
      <c r="H141" s="8">
        <v>0.036</v>
      </c>
      <c r="I141" s="8">
        <v>0.018355247238</v>
      </c>
      <c r="J141" s="9">
        <v>4.0</v>
      </c>
      <c r="K141" s="29" t="str">
        <f t="shared" si="1"/>
        <v>SMB</v>
      </c>
      <c r="L141" s="30">
        <f t="shared" si="2"/>
        <v>6.33</v>
      </c>
      <c r="M141" s="31">
        <f>PERCENTRANK(B$2:B$201,B141)*'Input Resturant Brands Scoring '!$B$3</f>
        <v>10.57</v>
      </c>
      <c r="N141" s="32">
        <f>(1-PERCENTRANK(J$2:J$201,J141))*'Input Resturant Brands Scoring '!$B$5</f>
        <v>17.1</v>
      </c>
      <c r="O141" s="31">
        <f>(1-PERCENTRANK(I$2:I$201,I141))*'Input Resturant Brands Scoring '!$B$6</f>
        <v>6.156</v>
      </c>
      <c r="P141" s="31">
        <f t="shared" si="3"/>
        <v>23.256</v>
      </c>
      <c r="Q141" s="31">
        <f>PERCENTRANK(L$2:L$201,L141)*'Input Resturant Brands Scoring '!$B$7</f>
        <v>25.165</v>
      </c>
      <c r="R141" s="31">
        <f t="shared" si="4"/>
        <v>58.991</v>
      </c>
      <c r="S141" s="12">
        <f t="shared" si="5"/>
        <v>56</v>
      </c>
      <c r="T141" s="12" t="str">
        <f t="shared" si="13"/>
        <v>B</v>
      </c>
      <c r="U141" s="33">
        <f t="shared" si="7"/>
        <v>160655.4</v>
      </c>
      <c r="V141" s="13">
        <f t="shared" si="8"/>
        <v>0.3</v>
      </c>
      <c r="W141" s="34">
        <f t="shared" si="9"/>
        <v>0</v>
      </c>
      <c r="X141" s="4">
        <f>IF(T141="S", B141*(1+'Input Fee and Elasticity Inputs'!$B$9), IF(T141="A", B141*(1+'Input Fee and Elasticity Inputs'!$B$10), IF(T141="B", B141*(1+'Input Fee and Elasticity Inputs'!$B$11), B141*(1+'Input Fee and Elasticity Inputs'!$B$12))))</f>
        <v>24111</v>
      </c>
      <c r="Y141" s="33">
        <f t="shared" si="10"/>
        <v>6.33</v>
      </c>
      <c r="Z141" s="33">
        <f t="shared" si="11"/>
        <v>152622.63</v>
      </c>
      <c r="AA141" s="33">
        <f t="shared" si="12"/>
        <v>-8032.77</v>
      </c>
    </row>
    <row r="142">
      <c r="A142" s="3" t="s">
        <v>150</v>
      </c>
      <c r="B142" s="4">
        <v>24768.0</v>
      </c>
      <c r="C142" s="5">
        <v>8.0</v>
      </c>
      <c r="D142" s="5">
        <v>11.0</v>
      </c>
      <c r="E142" s="6">
        <v>0.84</v>
      </c>
      <c r="F142" s="7">
        <v>36.3</v>
      </c>
      <c r="G142" s="6">
        <v>0.29</v>
      </c>
      <c r="H142" s="8">
        <v>0.0</v>
      </c>
      <c r="I142" s="8">
        <v>0.031041533118000002</v>
      </c>
      <c r="J142" s="9">
        <v>3.0</v>
      </c>
      <c r="K142" s="29" t="str">
        <f t="shared" si="1"/>
        <v>SMB</v>
      </c>
      <c r="L142" s="30">
        <f t="shared" si="2"/>
        <v>10.527</v>
      </c>
      <c r="M142" s="31">
        <f>PERCENTRANK(B$2:B$201,B142)*'Input Resturant Brands Scoring '!$B$3</f>
        <v>10.36</v>
      </c>
      <c r="N142" s="32">
        <f>(1-PERCENTRANK(J$2:J$201,J142))*'Input Resturant Brands Scoring '!$B$5</f>
        <v>18</v>
      </c>
      <c r="O142" s="31">
        <f>(1-PERCENTRANK(I$2:I$201,I142))*'Input Resturant Brands Scoring '!$B$6</f>
        <v>0.6</v>
      </c>
      <c r="P142" s="31">
        <f t="shared" si="3"/>
        <v>18.6</v>
      </c>
      <c r="Q142" s="31">
        <f>PERCENTRANK(L$2:L$201,L142)*'Input Resturant Brands Scoring '!$B$7</f>
        <v>35</v>
      </c>
      <c r="R142" s="31">
        <f t="shared" si="4"/>
        <v>63.96</v>
      </c>
      <c r="S142" s="12">
        <f t="shared" si="5"/>
        <v>39</v>
      </c>
      <c r="T142" s="12" t="str">
        <f t="shared" si="13"/>
        <v>A</v>
      </c>
      <c r="U142" s="33">
        <f t="shared" si="7"/>
        <v>260732.736</v>
      </c>
      <c r="V142" s="13">
        <f t="shared" si="8"/>
        <v>0.285</v>
      </c>
      <c r="W142" s="34">
        <f t="shared" si="9"/>
        <v>-0.005</v>
      </c>
      <c r="X142" s="4">
        <f>IF(T142="S", B142*(1+'Input Fee and Elasticity Inputs'!$B$9), IF(T142="A", B142*(1+'Input Fee and Elasticity Inputs'!$B$10), IF(T142="B", B142*(1+'Input Fee and Elasticity Inputs'!$B$11), B142*(1+'Input Fee and Elasticity Inputs'!$B$12))))</f>
        <v>27244.8</v>
      </c>
      <c r="Y142" s="33">
        <f t="shared" si="10"/>
        <v>10.3455</v>
      </c>
      <c r="Z142" s="33">
        <f t="shared" si="11"/>
        <v>281861.0784</v>
      </c>
      <c r="AA142" s="33">
        <f t="shared" si="12"/>
        <v>21128.3424</v>
      </c>
    </row>
    <row r="143">
      <c r="A143" s="3" t="s">
        <v>151</v>
      </c>
      <c r="B143" s="4">
        <v>24420.0</v>
      </c>
      <c r="C143" s="5">
        <v>8.0</v>
      </c>
      <c r="D143" s="5">
        <v>40.0</v>
      </c>
      <c r="E143" s="6">
        <v>0.55</v>
      </c>
      <c r="F143" s="7">
        <v>14.9</v>
      </c>
      <c r="G143" s="6">
        <v>0.23</v>
      </c>
      <c r="H143" s="8">
        <v>0.0212</v>
      </c>
      <c r="I143" s="8">
        <v>0.034744900038</v>
      </c>
      <c r="J143" s="9">
        <v>14.0</v>
      </c>
      <c r="K143" s="29" t="str">
        <f t="shared" si="1"/>
        <v>SMB</v>
      </c>
      <c r="L143" s="30">
        <f t="shared" si="2"/>
        <v>3.427</v>
      </c>
      <c r="M143" s="31">
        <f>PERCENTRANK(B$2:B$201,B143)*'Input Resturant Brands Scoring '!$B$3</f>
        <v>10.185</v>
      </c>
      <c r="N143" s="32">
        <f>(1-PERCENTRANK(J$2:J$201,J143))*'Input Resturant Brands Scoring '!$B$5</f>
        <v>6.426</v>
      </c>
      <c r="O143" s="31">
        <f>(1-PERCENTRANK(I$2:I$201,I143))*'Input Resturant Brands Scoring '!$B$6</f>
        <v>0</v>
      </c>
      <c r="P143" s="31">
        <f t="shared" si="3"/>
        <v>6.426</v>
      </c>
      <c r="Q143" s="31">
        <f>PERCENTRANK(L$2:L$201,L143)*'Input Resturant Brands Scoring '!$B$7</f>
        <v>1.05</v>
      </c>
      <c r="R143" s="31">
        <f t="shared" si="4"/>
        <v>17.661</v>
      </c>
      <c r="S143" s="12">
        <f t="shared" si="5"/>
        <v>198</v>
      </c>
      <c r="T143" s="12" t="str">
        <f t="shared" si="13"/>
        <v>C</v>
      </c>
      <c r="U143" s="33">
        <f t="shared" si="7"/>
        <v>83687.34</v>
      </c>
      <c r="V143" s="13">
        <f t="shared" si="8"/>
        <v>0.26</v>
      </c>
      <c r="W143" s="34">
        <f t="shared" si="9"/>
        <v>0.03</v>
      </c>
      <c r="X143" s="4">
        <f>IF(T143="S", B143*(1+'Input Fee and Elasticity Inputs'!$B$9), IF(T143="A", B143*(1+'Input Fee and Elasticity Inputs'!$B$10), IF(T143="B", B143*(1+'Input Fee and Elasticity Inputs'!$B$11), B143*(1+'Input Fee and Elasticity Inputs'!$B$12))))</f>
        <v>20757</v>
      </c>
      <c r="Y143" s="33">
        <f t="shared" si="10"/>
        <v>3.874</v>
      </c>
      <c r="Z143" s="33">
        <f t="shared" si="11"/>
        <v>80412.618</v>
      </c>
      <c r="AA143" s="33">
        <f t="shared" si="12"/>
        <v>-3274.722</v>
      </c>
    </row>
    <row r="144">
      <c r="A144" s="3" t="s">
        <v>152</v>
      </c>
      <c r="B144" s="4">
        <v>23616.0</v>
      </c>
      <c r="C144" s="5">
        <v>16.0</v>
      </c>
      <c r="D144" s="5">
        <v>20.0</v>
      </c>
      <c r="E144" s="6">
        <v>0.35</v>
      </c>
      <c r="F144" s="7">
        <v>19.4</v>
      </c>
      <c r="G144" s="6">
        <v>0.3</v>
      </c>
      <c r="H144" s="8">
        <v>0.0432</v>
      </c>
      <c r="I144" s="8">
        <v>0.013686874541999999</v>
      </c>
      <c r="J144" s="9">
        <v>8.0</v>
      </c>
      <c r="K144" s="29" t="str">
        <f t="shared" si="1"/>
        <v>SMB</v>
      </c>
      <c r="L144" s="30">
        <f t="shared" si="2"/>
        <v>5.82</v>
      </c>
      <c r="M144" s="31">
        <f>PERCENTRANK(B$2:B$201,B144)*'Input Resturant Brands Scoring '!$B$3</f>
        <v>10.01</v>
      </c>
      <c r="N144" s="32">
        <f>(1-PERCENTRANK(J$2:J$201,J144))*'Input Resturant Brands Scoring '!$B$5</f>
        <v>11.574</v>
      </c>
      <c r="O144" s="31">
        <f>(1-PERCENTRANK(I$2:I$201,I144))*'Input Resturant Brands Scoring '!$B$6</f>
        <v>10.428</v>
      </c>
      <c r="P144" s="31">
        <f t="shared" si="3"/>
        <v>22.002</v>
      </c>
      <c r="Q144" s="31">
        <f>PERCENTRANK(L$2:L$201,L144)*'Input Resturant Brands Scoring '!$B$7</f>
        <v>21.63</v>
      </c>
      <c r="R144" s="31">
        <f t="shared" si="4"/>
        <v>53.642</v>
      </c>
      <c r="S144" s="12">
        <f t="shared" si="5"/>
        <v>88</v>
      </c>
      <c r="T144" s="12" t="str">
        <f t="shared" si="13"/>
        <v>B</v>
      </c>
      <c r="U144" s="33">
        <f t="shared" si="7"/>
        <v>137445.12</v>
      </c>
      <c r="V144" s="13">
        <f t="shared" si="8"/>
        <v>0.3</v>
      </c>
      <c r="W144" s="34">
        <f t="shared" si="9"/>
        <v>0</v>
      </c>
      <c r="X144" s="4">
        <f>IF(T144="S", B144*(1+'Input Fee and Elasticity Inputs'!$B$9), IF(T144="A", B144*(1+'Input Fee and Elasticity Inputs'!$B$10), IF(T144="B", B144*(1+'Input Fee and Elasticity Inputs'!$B$11), B144*(1+'Input Fee and Elasticity Inputs'!$B$12))))</f>
        <v>22435.2</v>
      </c>
      <c r="Y144" s="33">
        <f t="shared" si="10"/>
        <v>5.82</v>
      </c>
      <c r="Z144" s="33">
        <f t="shared" si="11"/>
        <v>130572.864</v>
      </c>
      <c r="AA144" s="33">
        <f t="shared" si="12"/>
        <v>-6872.256</v>
      </c>
    </row>
    <row r="145">
      <c r="A145" s="3" t="s">
        <v>153</v>
      </c>
      <c r="B145" s="4">
        <v>21708.0</v>
      </c>
      <c r="C145" s="5">
        <v>7.0</v>
      </c>
      <c r="D145" s="5">
        <v>9.0</v>
      </c>
      <c r="E145" s="6">
        <v>0.37</v>
      </c>
      <c r="F145" s="7">
        <v>16.4</v>
      </c>
      <c r="G145" s="6">
        <v>0.27</v>
      </c>
      <c r="H145" s="8">
        <v>0.0392</v>
      </c>
      <c r="I145" s="8">
        <v>0.030804349457999997</v>
      </c>
      <c r="J145" s="9">
        <v>12.0</v>
      </c>
      <c r="K145" s="29" t="str">
        <f t="shared" si="1"/>
        <v>SMB</v>
      </c>
      <c r="L145" s="30">
        <f t="shared" si="2"/>
        <v>4.428</v>
      </c>
      <c r="M145" s="31">
        <f>PERCENTRANK(B$2:B$201,B145)*'Input Resturant Brands Scoring '!$B$3</f>
        <v>9.835</v>
      </c>
      <c r="N145" s="32">
        <f>(1-PERCENTRANK(J$2:J$201,J145))*'Input Resturant Brands Scoring '!$B$5</f>
        <v>7.326</v>
      </c>
      <c r="O145" s="31">
        <f>(1-PERCENTRANK(I$2:I$201,I145))*'Input Resturant Brands Scoring '!$B$6</f>
        <v>0.66</v>
      </c>
      <c r="P145" s="31">
        <f t="shared" si="3"/>
        <v>7.986</v>
      </c>
      <c r="Q145" s="31">
        <f>PERCENTRANK(L$2:L$201,L145)*'Input Resturant Brands Scoring '!$B$7</f>
        <v>7.385</v>
      </c>
      <c r="R145" s="31">
        <f t="shared" si="4"/>
        <v>25.206</v>
      </c>
      <c r="S145" s="12">
        <f t="shared" si="5"/>
        <v>192</v>
      </c>
      <c r="T145" s="12" t="str">
        <f t="shared" si="13"/>
        <v>C</v>
      </c>
      <c r="U145" s="33">
        <f t="shared" si="7"/>
        <v>96123.024</v>
      </c>
      <c r="V145" s="13">
        <f t="shared" si="8"/>
        <v>0.3</v>
      </c>
      <c r="W145" s="34">
        <f t="shared" si="9"/>
        <v>0.03</v>
      </c>
      <c r="X145" s="4">
        <f>IF(T145="S", B145*(1+'Input Fee and Elasticity Inputs'!$B$9), IF(T145="A", B145*(1+'Input Fee and Elasticity Inputs'!$B$10), IF(T145="B", B145*(1+'Input Fee and Elasticity Inputs'!$B$11), B145*(1+'Input Fee and Elasticity Inputs'!$B$12))))</f>
        <v>18451.8</v>
      </c>
      <c r="Y145" s="33">
        <f t="shared" si="10"/>
        <v>4.92</v>
      </c>
      <c r="Z145" s="33">
        <f t="shared" si="11"/>
        <v>90782.856</v>
      </c>
      <c r="AA145" s="33">
        <f t="shared" si="12"/>
        <v>-5340.168</v>
      </c>
    </row>
    <row r="146">
      <c r="A146" s="3" t="s">
        <v>154</v>
      </c>
      <c r="B146" s="4">
        <v>21600.0</v>
      </c>
      <c r="C146" s="5">
        <v>8.0</v>
      </c>
      <c r="D146" s="5">
        <v>13.0</v>
      </c>
      <c r="E146" s="6">
        <v>0.77</v>
      </c>
      <c r="F146" s="7">
        <v>18.1</v>
      </c>
      <c r="G146" s="6">
        <v>0.29</v>
      </c>
      <c r="H146" s="8">
        <v>0.0564</v>
      </c>
      <c r="I146" s="8">
        <v>0.017213501915999997</v>
      </c>
      <c r="J146" s="9">
        <v>9.0</v>
      </c>
      <c r="K146" s="29" t="str">
        <f t="shared" si="1"/>
        <v>SMB</v>
      </c>
      <c r="L146" s="30">
        <f t="shared" si="2"/>
        <v>5.249</v>
      </c>
      <c r="M146" s="31">
        <f>PERCENTRANK(B$2:B$201,B146)*'Input Resturant Brands Scoring '!$B$3</f>
        <v>9.66</v>
      </c>
      <c r="N146" s="32">
        <f>(1-PERCENTRANK(J$2:J$201,J146))*'Input Resturant Brands Scoring '!$B$5</f>
        <v>10.044</v>
      </c>
      <c r="O146" s="31">
        <f>(1-PERCENTRANK(I$2:I$201,I146))*'Input Resturant Brands Scoring '!$B$6</f>
        <v>6.936</v>
      </c>
      <c r="P146" s="31">
        <f t="shared" si="3"/>
        <v>16.98</v>
      </c>
      <c r="Q146" s="31">
        <f>PERCENTRANK(L$2:L$201,L146)*'Input Resturant Brands Scoring '!$B$7</f>
        <v>15.645</v>
      </c>
      <c r="R146" s="31">
        <f t="shared" si="4"/>
        <v>42.285</v>
      </c>
      <c r="S146" s="12">
        <f t="shared" si="5"/>
        <v>143</v>
      </c>
      <c r="T146" s="12" t="str">
        <f t="shared" si="13"/>
        <v>B</v>
      </c>
      <c r="U146" s="33">
        <f t="shared" si="7"/>
        <v>113378.4</v>
      </c>
      <c r="V146" s="13">
        <f t="shared" si="8"/>
        <v>0.3</v>
      </c>
      <c r="W146" s="34">
        <f t="shared" si="9"/>
        <v>0.01</v>
      </c>
      <c r="X146" s="4">
        <f>IF(T146="S", B146*(1+'Input Fee and Elasticity Inputs'!$B$9), IF(T146="A", B146*(1+'Input Fee and Elasticity Inputs'!$B$10), IF(T146="B", B146*(1+'Input Fee and Elasticity Inputs'!$B$11), B146*(1+'Input Fee and Elasticity Inputs'!$B$12))))</f>
        <v>20520</v>
      </c>
      <c r="Y146" s="33">
        <f t="shared" si="10"/>
        <v>5.43</v>
      </c>
      <c r="Z146" s="33">
        <f t="shared" si="11"/>
        <v>111423.6</v>
      </c>
      <c r="AA146" s="33">
        <f t="shared" si="12"/>
        <v>-1954.8</v>
      </c>
    </row>
    <row r="147">
      <c r="A147" s="3" t="s">
        <v>155</v>
      </c>
      <c r="B147" s="4">
        <v>20880.0</v>
      </c>
      <c r="C147" s="5">
        <v>8.0</v>
      </c>
      <c r="D147" s="5">
        <v>80.0</v>
      </c>
      <c r="E147" s="6">
        <v>0.56</v>
      </c>
      <c r="F147" s="7">
        <v>15.8</v>
      </c>
      <c r="G147" s="6">
        <v>0.3</v>
      </c>
      <c r="H147" s="8">
        <v>0.0896</v>
      </c>
      <c r="I147" s="8">
        <v>0.009831856206</v>
      </c>
      <c r="J147" s="9">
        <v>11.0</v>
      </c>
      <c r="K147" s="29" t="str">
        <f t="shared" si="1"/>
        <v>SMB</v>
      </c>
      <c r="L147" s="30">
        <f t="shared" si="2"/>
        <v>4.74</v>
      </c>
      <c r="M147" s="31">
        <f>PERCENTRANK(B$2:B$201,B147)*'Input Resturant Brands Scoring '!$B$3</f>
        <v>9.485</v>
      </c>
      <c r="N147" s="32">
        <f>(1-PERCENTRANK(J$2:J$201,J147))*'Input Resturant Brands Scoring '!$B$5</f>
        <v>8.136</v>
      </c>
      <c r="O147" s="31">
        <f>(1-PERCENTRANK(I$2:I$201,I147))*'Input Resturant Brands Scoring '!$B$6</f>
        <v>11.94</v>
      </c>
      <c r="P147" s="31">
        <f t="shared" si="3"/>
        <v>20.076</v>
      </c>
      <c r="Q147" s="31">
        <f>PERCENTRANK(L$2:L$201,L147)*'Input Resturant Brands Scoring '!$B$7</f>
        <v>10.185</v>
      </c>
      <c r="R147" s="31">
        <f t="shared" si="4"/>
        <v>39.746</v>
      </c>
      <c r="S147" s="12">
        <f t="shared" si="5"/>
        <v>148</v>
      </c>
      <c r="T147" s="12" t="str">
        <f t="shared" si="13"/>
        <v>B</v>
      </c>
      <c r="U147" s="33">
        <f t="shared" si="7"/>
        <v>98971.2</v>
      </c>
      <c r="V147" s="13">
        <f t="shared" si="8"/>
        <v>0.3</v>
      </c>
      <c r="W147" s="34">
        <f t="shared" si="9"/>
        <v>0</v>
      </c>
      <c r="X147" s="4">
        <f>IF(T147="S", B147*(1+'Input Fee and Elasticity Inputs'!$B$9), IF(T147="A", B147*(1+'Input Fee and Elasticity Inputs'!$B$10), IF(T147="B", B147*(1+'Input Fee and Elasticity Inputs'!$B$11), B147*(1+'Input Fee and Elasticity Inputs'!$B$12))))</f>
        <v>19836</v>
      </c>
      <c r="Y147" s="33">
        <f t="shared" si="10"/>
        <v>4.74</v>
      </c>
      <c r="Z147" s="33">
        <f t="shared" si="11"/>
        <v>94022.64</v>
      </c>
      <c r="AA147" s="33">
        <f t="shared" si="12"/>
        <v>-4948.56</v>
      </c>
    </row>
    <row r="148">
      <c r="A148" s="3" t="s">
        <v>156</v>
      </c>
      <c r="B148" s="4">
        <v>20808.0</v>
      </c>
      <c r="C148" s="5">
        <v>10.0</v>
      </c>
      <c r="D148" s="5">
        <v>11.0</v>
      </c>
      <c r="E148" s="6">
        <v>0.76</v>
      </c>
      <c r="F148" s="7">
        <v>20.1</v>
      </c>
      <c r="G148" s="6">
        <v>0.25</v>
      </c>
      <c r="H148" s="8">
        <v>0.0524</v>
      </c>
      <c r="I148" s="8">
        <v>0.034392262326</v>
      </c>
      <c r="J148" s="9">
        <v>10.0</v>
      </c>
      <c r="K148" s="29" t="str">
        <f t="shared" si="1"/>
        <v>SMB</v>
      </c>
      <c r="L148" s="30">
        <f t="shared" si="2"/>
        <v>5.025</v>
      </c>
      <c r="M148" s="31">
        <f>PERCENTRANK(B$2:B$201,B148)*'Input Resturant Brands Scoring '!$B$3</f>
        <v>9.31</v>
      </c>
      <c r="N148" s="32">
        <f>(1-PERCENTRANK(J$2:J$201,J148))*'Input Resturant Brands Scoring '!$B$5</f>
        <v>9.054</v>
      </c>
      <c r="O148" s="31">
        <f>(1-PERCENTRANK(I$2:I$201,I148))*'Input Resturant Brands Scoring '!$B$6</f>
        <v>0.06</v>
      </c>
      <c r="P148" s="31">
        <f t="shared" si="3"/>
        <v>9.114</v>
      </c>
      <c r="Q148" s="31">
        <f>PERCENTRANK(L$2:L$201,L148)*'Input Resturant Brands Scoring '!$B$7</f>
        <v>12.845</v>
      </c>
      <c r="R148" s="31">
        <f t="shared" si="4"/>
        <v>31.269</v>
      </c>
      <c r="S148" s="12">
        <f t="shared" si="5"/>
        <v>180</v>
      </c>
      <c r="T148" s="12" t="str">
        <f t="shared" si="13"/>
        <v>C</v>
      </c>
      <c r="U148" s="33">
        <f t="shared" si="7"/>
        <v>104560.2</v>
      </c>
      <c r="V148" s="13">
        <f t="shared" si="8"/>
        <v>0.28</v>
      </c>
      <c r="W148" s="34">
        <f t="shared" si="9"/>
        <v>0.03</v>
      </c>
      <c r="X148" s="4">
        <f>IF(T148="S", B148*(1+'Input Fee and Elasticity Inputs'!$B$9), IF(T148="A", B148*(1+'Input Fee and Elasticity Inputs'!$B$10), IF(T148="B", B148*(1+'Input Fee and Elasticity Inputs'!$B$11), B148*(1+'Input Fee and Elasticity Inputs'!$B$12))))</f>
        <v>17686.8</v>
      </c>
      <c r="Y148" s="33">
        <f t="shared" si="10"/>
        <v>5.628</v>
      </c>
      <c r="Z148" s="33">
        <f t="shared" si="11"/>
        <v>99541.3104</v>
      </c>
      <c r="AA148" s="33">
        <f t="shared" si="12"/>
        <v>-5018.8896</v>
      </c>
    </row>
    <row r="149">
      <c r="A149" s="3" t="s">
        <v>157</v>
      </c>
      <c r="B149" s="4">
        <v>20448.0</v>
      </c>
      <c r="C149" s="5">
        <v>8.0</v>
      </c>
      <c r="D149" s="5">
        <v>10.0</v>
      </c>
      <c r="E149" s="6">
        <v>0.03</v>
      </c>
      <c r="F149" s="7">
        <v>26.4</v>
      </c>
      <c r="G149" s="6">
        <v>0.25</v>
      </c>
      <c r="H149" s="8">
        <v>0.0532</v>
      </c>
      <c r="I149" s="8">
        <v>0.01781536725</v>
      </c>
      <c r="J149" s="9">
        <v>34.0</v>
      </c>
      <c r="K149" s="29" t="str">
        <f t="shared" si="1"/>
        <v>SMB</v>
      </c>
      <c r="L149" s="30">
        <f t="shared" si="2"/>
        <v>6.6</v>
      </c>
      <c r="M149" s="31">
        <f>PERCENTRANK(B$2:B$201,B149)*'Input Resturant Brands Scoring '!$B$3</f>
        <v>9.135</v>
      </c>
      <c r="N149" s="32">
        <f>(1-PERCENTRANK(J$2:J$201,J149))*'Input Resturant Brands Scoring '!$B$5</f>
        <v>1.08</v>
      </c>
      <c r="O149" s="31">
        <f>(1-PERCENTRANK(I$2:I$201,I149))*'Input Resturant Brands Scoring '!$B$6</f>
        <v>6.396</v>
      </c>
      <c r="P149" s="31">
        <f t="shared" si="3"/>
        <v>7.476</v>
      </c>
      <c r="Q149" s="31">
        <f>PERCENTRANK(L$2:L$201,L149)*'Input Resturant Brands Scoring '!$B$7</f>
        <v>26.39</v>
      </c>
      <c r="R149" s="31">
        <f t="shared" si="4"/>
        <v>43.001</v>
      </c>
      <c r="S149" s="12">
        <f t="shared" si="5"/>
        <v>140</v>
      </c>
      <c r="T149" s="12" t="str">
        <f t="shared" si="13"/>
        <v>B</v>
      </c>
      <c r="U149" s="33">
        <f t="shared" si="7"/>
        <v>134956.8</v>
      </c>
      <c r="V149" s="13">
        <f t="shared" si="8"/>
        <v>0.27</v>
      </c>
      <c r="W149" s="34">
        <f t="shared" si="9"/>
        <v>0.02</v>
      </c>
      <c r="X149" s="4">
        <f>IF(T149="S", B149*(1+'Input Fee and Elasticity Inputs'!$B$9), IF(T149="A", B149*(1+'Input Fee and Elasticity Inputs'!$B$10), IF(T149="B", B149*(1+'Input Fee and Elasticity Inputs'!$B$11), B149*(1+'Input Fee and Elasticity Inputs'!$B$12))))</f>
        <v>19425.6</v>
      </c>
      <c r="Y149" s="33">
        <f t="shared" si="10"/>
        <v>7.128</v>
      </c>
      <c r="Z149" s="33">
        <f t="shared" si="11"/>
        <v>138465.6768</v>
      </c>
      <c r="AA149" s="33">
        <f t="shared" si="12"/>
        <v>3508.8768</v>
      </c>
    </row>
    <row r="150">
      <c r="A150" s="3" t="s">
        <v>158</v>
      </c>
      <c r="B150" s="4">
        <v>19872.0</v>
      </c>
      <c r="C150" s="5">
        <v>14.0</v>
      </c>
      <c r="D150" s="5">
        <v>16.0</v>
      </c>
      <c r="E150" s="6">
        <v>0.88</v>
      </c>
      <c r="F150" s="7">
        <v>20.9</v>
      </c>
      <c r="G150" s="6">
        <v>0.29</v>
      </c>
      <c r="H150" s="8">
        <v>0.0592</v>
      </c>
      <c r="I150" s="8">
        <v>0.014158759902</v>
      </c>
      <c r="J150" s="9">
        <v>16.0</v>
      </c>
      <c r="K150" s="29" t="str">
        <f t="shared" si="1"/>
        <v>SMB</v>
      </c>
      <c r="L150" s="30">
        <f t="shared" si="2"/>
        <v>6.061</v>
      </c>
      <c r="M150" s="31">
        <f>PERCENTRANK(B$2:B$201,B150)*'Input Resturant Brands Scoring '!$B$3</f>
        <v>8.96</v>
      </c>
      <c r="N150" s="32">
        <f>(1-PERCENTRANK(J$2:J$201,J150))*'Input Resturant Brands Scoring '!$B$5</f>
        <v>5.148</v>
      </c>
      <c r="O150" s="31">
        <f>(1-PERCENTRANK(I$2:I$201,I150))*'Input Resturant Brands Scoring '!$B$6</f>
        <v>9.708</v>
      </c>
      <c r="P150" s="31">
        <f t="shared" si="3"/>
        <v>14.856</v>
      </c>
      <c r="Q150" s="31">
        <f>PERCENTRANK(L$2:L$201,L150)*'Input Resturant Brands Scoring '!$B$7</f>
        <v>23.555</v>
      </c>
      <c r="R150" s="31">
        <f t="shared" si="4"/>
        <v>47.371</v>
      </c>
      <c r="S150" s="12">
        <f t="shared" si="5"/>
        <v>120</v>
      </c>
      <c r="T150" s="12" t="str">
        <f t="shared" si="13"/>
        <v>B</v>
      </c>
      <c r="U150" s="33">
        <f t="shared" si="7"/>
        <v>120444.192</v>
      </c>
      <c r="V150" s="13">
        <f t="shared" si="8"/>
        <v>0.3</v>
      </c>
      <c r="W150" s="34">
        <f t="shared" si="9"/>
        <v>0.01</v>
      </c>
      <c r="X150" s="4">
        <f>IF(T150="S", B150*(1+'Input Fee and Elasticity Inputs'!$B$9), IF(T150="A", B150*(1+'Input Fee and Elasticity Inputs'!$B$10), IF(T150="B", B150*(1+'Input Fee and Elasticity Inputs'!$B$11), B150*(1+'Input Fee and Elasticity Inputs'!$B$12))))</f>
        <v>18878.4</v>
      </c>
      <c r="Y150" s="33">
        <f t="shared" si="10"/>
        <v>6.27</v>
      </c>
      <c r="Z150" s="33">
        <f t="shared" si="11"/>
        <v>118367.568</v>
      </c>
      <c r="AA150" s="33">
        <f t="shared" si="12"/>
        <v>-2076.624</v>
      </c>
    </row>
    <row r="151">
      <c r="A151" s="3" t="s">
        <v>159</v>
      </c>
      <c r="B151" s="4">
        <v>19824.0</v>
      </c>
      <c r="C151" s="5">
        <v>6.0</v>
      </c>
      <c r="D151" s="5">
        <v>7.0</v>
      </c>
      <c r="E151" s="6">
        <v>0.3</v>
      </c>
      <c r="F151" s="7">
        <v>23.7</v>
      </c>
      <c r="G151" s="6">
        <v>0.27</v>
      </c>
      <c r="H151" s="8">
        <v>0.074</v>
      </c>
      <c r="I151" s="8">
        <v>0.019642969782</v>
      </c>
      <c r="J151" s="9">
        <v>4.0</v>
      </c>
      <c r="K151" s="29" t="str">
        <f t="shared" si="1"/>
        <v>SMB</v>
      </c>
      <c r="L151" s="30">
        <f t="shared" si="2"/>
        <v>6.399</v>
      </c>
      <c r="M151" s="31">
        <f>PERCENTRANK(B$2:B$201,B151)*'Input Resturant Brands Scoring '!$B$3</f>
        <v>8.785</v>
      </c>
      <c r="N151" s="32">
        <f>(1-PERCENTRANK(J$2:J$201,J151))*'Input Resturant Brands Scoring '!$B$5</f>
        <v>17.1</v>
      </c>
      <c r="O151" s="31">
        <f>(1-PERCENTRANK(I$2:I$201,I151))*'Input Resturant Brands Scoring '!$B$6</f>
        <v>5.424</v>
      </c>
      <c r="P151" s="31">
        <f t="shared" si="3"/>
        <v>22.524</v>
      </c>
      <c r="Q151" s="31">
        <f>PERCENTRANK(L$2:L$201,L151)*'Input Resturant Brands Scoring '!$B$7</f>
        <v>25.34</v>
      </c>
      <c r="R151" s="31">
        <f t="shared" si="4"/>
        <v>56.649</v>
      </c>
      <c r="S151" s="12">
        <f t="shared" si="5"/>
        <v>66</v>
      </c>
      <c r="T151" s="12" t="str">
        <f t="shared" si="13"/>
        <v>B</v>
      </c>
      <c r="U151" s="33">
        <f t="shared" si="7"/>
        <v>126853.776</v>
      </c>
      <c r="V151" s="13">
        <f t="shared" si="8"/>
        <v>0.29</v>
      </c>
      <c r="W151" s="34">
        <f t="shared" si="9"/>
        <v>0.02</v>
      </c>
      <c r="X151" s="4">
        <f>IF(T151="S", B151*(1+'Input Fee and Elasticity Inputs'!$B$9), IF(T151="A", B151*(1+'Input Fee and Elasticity Inputs'!$B$10), IF(T151="B", B151*(1+'Input Fee and Elasticity Inputs'!$B$11), B151*(1+'Input Fee and Elasticity Inputs'!$B$12))))</f>
        <v>18832.8</v>
      </c>
      <c r="Y151" s="33">
        <f t="shared" si="10"/>
        <v>6.873</v>
      </c>
      <c r="Z151" s="33">
        <f t="shared" si="11"/>
        <v>129437.8344</v>
      </c>
      <c r="AA151" s="33">
        <f t="shared" si="12"/>
        <v>2584.0584</v>
      </c>
    </row>
    <row r="152">
      <c r="A152" s="3" t="s">
        <v>160</v>
      </c>
      <c r="B152" s="4">
        <v>19488.0</v>
      </c>
      <c r="C152" s="5">
        <v>9.0</v>
      </c>
      <c r="D152" s="5">
        <v>12.0</v>
      </c>
      <c r="E152" s="6">
        <v>0.3</v>
      </c>
      <c r="F152" s="7">
        <v>20.0</v>
      </c>
      <c r="G152" s="6">
        <v>0.3</v>
      </c>
      <c r="H152" s="8">
        <v>0.146</v>
      </c>
      <c r="I152" s="8">
        <v>0.013821521238</v>
      </c>
      <c r="J152" s="9">
        <v>6.0</v>
      </c>
      <c r="K152" s="29" t="str">
        <f t="shared" si="1"/>
        <v>SMB</v>
      </c>
      <c r="L152" s="30">
        <f t="shared" si="2"/>
        <v>6</v>
      </c>
      <c r="M152" s="31">
        <f>PERCENTRANK(B$2:B$201,B152)*'Input Resturant Brands Scoring '!$B$3</f>
        <v>8.61</v>
      </c>
      <c r="N152" s="32">
        <f>(1-PERCENTRANK(J$2:J$201,J152))*'Input Resturant Brands Scoring '!$B$5</f>
        <v>14.022</v>
      </c>
      <c r="O152" s="31">
        <f>(1-PERCENTRANK(I$2:I$201,I152))*'Input Resturant Brands Scoring '!$B$6</f>
        <v>10.128</v>
      </c>
      <c r="P152" s="31">
        <f t="shared" si="3"/>
        <v>24.15</v>
      </c>
      <c r="Q152" s="31">
        <f>PERCENTRANK(L$2:L$201,L152)*'Input Resturant Brands Scoring '!$B$7</f>
        <v>23.03</v>
      </c>
      <c r="R152" s="31">
        <f t="shared" si="4"/>
        <v>55.79</v>
      </c>
      <c r="S152" s="12">
        <f t="shared" si="5"/>
        <v>71</v>
      </c>
      <c r="T152" s="12" t="str">
        <f t="shared" si="13"/>
        <v>B</v>
      </c>
      <c r="U152" s="33">
        <f t="shared" si="7"/>
        <v>116928</v>
      </c>
      <c r="V152" s="13">
        <f t="shared" si="8"/>
        <v>0.3</v>
      </c>
      <c r="W152" s="34">
        <f t="shared" si="9"/>
        <v>0</v>
      </c>
      <c r="X152" s="4">
        <f>IF(T152="S", B152*(1+'Input Fee and Elasticity Inputs'!$B$9), IF(T152="A", B152*(1+'Input Fee and Elasticity Inputs'!$B$10), IF(T152="B", B152*(1+'Input Fee and Elasticity Inputs'!$B$11), B152*(1+'Input Fee and Elasticity Inputs'!$B$12))))</f>
        <v>18513.6</v>
      </c>
      <c r="Y152" s="33">
        <f t="shared" si="10"/>
        <v>6</v>
      </c>
      <c r="Z152" s="33">
        <f t="shared" si="11"/>
        <v>111081.6</v>
      </c>
      <c r="AA152" s="33">
        <f t="shared" si="12"/>
        <v>-5846.4</v>
      </c>
    </row>
    <row r="153">
      <c r="A153" s="3" t="s">
        <v>161</v>
      </c>
      <c r="B153" s="4">
        <v>19008.0</v>
      </c>
      <c r="C153" s="5">
        <v>10.0</v>
      </c>
      <c r="D153" s="5">
        <v>13.0</v>
      </c>
      <c r="E153" s="6">
        <v>1.0</v>
      </c>
      <c r="F153" s="7">
        <v>18.0</v>
      </c>
      <c r="G153" s="6">
        <v>0.18</v>
      </c>
      <c r="H153" s="8">
        <v>0.0184</v>
      </c>
      <c r="I153" s="8">
        <v>0.017544254633999997</v>
      </c>
      <c r="J153" s="9">
        <v>7.0</v>
      </c>
      <c r="K153" s="29" t="str">
        <f t="shared" si="1"/>
        <v>SMB</v>
      </c>
      <c r="L153" s="30">
        <f t="shared" si="2"/>
        <v>3.24</v>
      </c>
      <c r="M153" s="31">
        <f>PERCENTRANK(B$2:B$201,B153)*'Input Resturant Brands Scoring '!$B$3</f>
        <v>8.26</v>
      </c>
      <c r="N153" s="32">
        <f>(1-PERCENTRANK(J$2:J$201,J153))*'Input Resturant Brands Scoring '!$B$5</f>
        <v>12.204</v>
      </c>
      <c r="O153" s="31">
        <f>(1-PERCENTRANK(I$2:I$201,I153))*'Input Resturant Brands Scoring '!$B$6</f>
        <v>6.696</v>
      </c>
      <c r="P153" s="31">
        <f t="shared" si="3"/>
        <v>18.9</v>
      </c>
      <c r="Q153" s="31">
        <f>PERCENTRANK(L$2:L$201,L153)*'Input Resturant Brands Scoring '!$B$7</f>
        <v>0.875</v>
      </c>
      <c r="R153" s="31">
        <f t="shared" si="4"/>
        <v>28.035</v>
      </c>
      <c r="S153" s="12">
        <f t="shared" si="5"/>
        <v>187</v>
      </c>
      <c r="T153" s="12" t="str">
        <f t="shared" si="13"/>
        <v>C</v>
      </c>
      <c r="U153" s="33">
        <f t="shared" si="7"/>
        <v>61585.92</v>
      </c>
      <c r="V153" s="13">
        <f t="shared" si="8"/>
        <v>0.21</v>
      </c>
      <c r="W153" s="34">
        <f t="shared" si="9"/>
        <v>0.03</v>
      </c>
      <c r="X153" s="4">
        <f>IF(T153="S", B153*(1+'Input Fee and Elasticity Inputs'!$B$9), IF(T153="A", B153*(1+'Input Fee and Elasticity Inputs'!$B$10), IF(T153="B", B153*(1+'Input Fee and Elasticity Inputs'!$B$11), B153*(1+'Input Fee and Elasticity Inputs'!$B$12))))</f>
        <v>16156.8</v>
      </c>
      <c r="Y153" s="33">
        <f t="shared" si="10"/>
        <v>3.78</v>
      </c>
      <c r="Z153" s="33">
        <f t="shared" si="11"/>
        <v>61072.704</v>
      </c>
      <c r="AA153" s="33">
        <f t="shared" si="12"/>
        <v>-513.216</v>
      </c>
    </row>
    <row r="154">
      <c r="A154" s="3" t="s">
        <v>162</v>
      </c>
      <c r="B154" s="4">
        <v>19008.0</v>
      </c>
      <c r="C154" s="5">
        <v>7.0</v>
      </c>
      <c r="D154" s="5">
        <v>19.0</v>
      </c>
      <c r="E154" s="6">
        <v>0.38</v>
      </c>
      <c r="F154" s="7">
        <v>18.4</v>
      </c>
      <c r="G154" s="6">
        <v>0.28</v>
      </c>
      <c r="H154" s="8">
        <v>0.3132</v>
      </c>
      <c r="I154" s="8">
        <v>0.016501331442</v>
      </c>
      <c r="J154" s="9">
        <v>5.0</v>
      </c>
      <c r="K154" s="29" t="str">
        <f t="shared" si="1"/>
        <v>SMB</v>
      </c>
      <c r="L154" s="30">
        <f t="shared" si="2"/>
        <v>5.152</v>
      </c>
      <c r="M154" s="31">
        <f>PERCENTRANK(B$2:B$201,B154)*'Input Resturant Brands Scoring '!$B$3</f>
        <v>8.26</v>
      </c>
      <c r="N154" s="32">
        <f>(1-PERCENTRANK(J$2:J$201,J154))*'Input Resturant Brands Scoring '!$B$5</f>
        <v>15.462</v>
      </c>
      <c r="O154" s="31">
        <f>(1-PERCENTRANK(I$2:I$201,I154))*'Input Resturant Brands Scoring '!$B$6</f>
        <v>7.356</v>
      </c>
      <c r="P154" s="31">
        <f t="shared" si="3"/>
        <v>22.818</v>
      </c>
      <c r="Q154" s="31">
        <f>PERCENTRANK(L$2:L$201,L154)*'Input Resturant Brands Scoring '!$B$7</f>
        <v>14.945</v>
      </c>
      <c r="R154" s="31">
        <f t="shared" si="4"/>
        <v>46.023</v>
      </c>
      <c r="S154" s="12">
        <f t="shared" si="5"/>
        <v>129</v>
      </c>
      <c r="T154" s="12" t="str">
        <f t="shared" si="13"/>
        <v>B</v>
      </c>
      <c r="U154" s="33">
        <f t="shared" si="7"/>
        <v>97929.216</v>
      </c>
      <c r="V154" s="13">
        <f t="shared" si="8"/>
        <v>0.3</v>
      </c>
      <c r="W154" s="34">
        <f t="shared" si="9"/>
        <v>0.02</v>
      </c>
      <c r="X154" s="4">
        <f>IF(T154="S", B154*(1+'Input Fee and Elasticity Inputs'!$B$9), IF(T154="A", B154*(1+'Input Fee and Elasticity Inputs'!$B$10), IF(T154="B", B154*(1+'Input Fee and Elasticity Inputs'!$B$11), B154*(1+'Input Fee and Elasticity Inputs'!$B$12))))</f>
        <v>18057.6</v>
      </c>
      <c r="Y154" s="33">
        <f t="shared" si="10"/>
        <v>5.52</v>
      </c>
      <c r="Z154" s="33">
        <f t="shared" si="11"/>
        <v>99677.952</v>
      </c>
      <c r="AA154" s="33">
        <f t="shared" si="12"/>
        <v>1748.736</v>
      </c>
    </row>
    <row r="155">
      <c r="A155" s="3" t="s">
        <v>163</v>
      </c>
      <c r="B155" s="4">
        <v>18816.0</v>
      </c>
      <c r="C155" s="5">
        <v>6.0</v>
      </c>
      <c r="D155" s="5">
        <v>13.0</v>
      </c>
      <c r="E155" s="6">
        <v>0.31</v>
      </c>
      <c r="F155" s="7">
        <v>32.4</v>
      </c>
      <c r="G155" s="6">
        <v>0.29</v>
      </c>
      <c r="H155" s="8">
        <v>0.0388</v>
      </c>
      <c r="I155" s="8">
        <v>0.018379929761999998</v>
      </c>
      <c r="J155" s="9">
        <v>10.0</v>
      </c>
      <c r="K155" s="29" t="str">
        <f t="shared" si="1"/>
        <v>SMB</v>
      </c>
      <c r="L155" s="30">
        <f t="shared" si="2"/>
        <v>9.396</v>
      </c>
      <c r="M155" s="31">
        <f>PERCENTRANK(B$2:B$201,B155)*'Input Resturant Brands Scoring '!$B$3</f>
        <v>8.085</v>
      </c>
      <c r="N155" s="32">
        <f>(1-PERCENTRANK(J$2:J$201,J155))*'Input Resturant Brands Scoring '!$B$5</f>
        <v>9.054</v>
      </c>
      <c r="O155" s="31">
        <f>(1-PERCENTRANK(I$2:I$201,I155))*'Input Resturant Brands Scoring '!$B$6</f>
        <v>6.096</v>
      </c>
      <c r="P155" s="31">
        <f t="shared" si="3"/>
        <v>15.15</v>
      </c>
      <c r="Q155" s="31">
        <f>PERCENTRANK(L$2:L$201,L155)*'Input Resturant Brands Scoring '!$B$7</f>
        <v>34.475</v>
      </c>
      <c r="R155" s="31">
        <f t="shared" si="4"/>
        <v>57.71</v>
      </c>
      <c r="S155" s="12">
        <f t="shared" si="5"/>
        <v>63</v>
      </c>
      <c r="T155" s="12" t="str">
        <f t="shared" si="13"/>
        <v>B</v>
      </c>
      <c r="U155" s="33">
        <f t="shared" si="7"/>
        <v>176795.136</v>
      </c>
      <c r="V155" s="13">
        <f t="shared" si="8"/>
        <v>0.3</v>
      </c>
      <c r="W155" s="34">
        <f t="shared" si="9"/>
        <v>0.01</v>
      </c>
      <c r="X155" s="4">
        <f>IF(T155="S", B155*(1+'Input Fee and Elasticity Inputs'!$B$9), IF(T155="A", B155*(1+'Input Fee and Elasticity Inputs'!$B$10), IF(T155="B", B155*(1+'Input Fee and Elasticity Inputs'!$B$11), B155*(1+'Input Fee and Elasticity Inputs'!$B$12))))</f>
        <v>17875.2</v>
      </c>
      <c r="Y155" s="33">
        <f t="shared" si="10"/>
        <v>9.72</v>
      </c>
      <c r="Z155" s="33">
        <f t="shared" si="11"/>
        <v>173746.944</v>
      </c>
      <c r="AA155" s="33">
        <f t="shared" si="12"/>
        <v>-3048.192</v>
      </c>
    </row>
    <row r="156">
      <c r="A156" s="3" t="s">
        <v>164</v>
      </c>
      <c r="B156" s="4">
        <v>18240.0</v>
      </c>
      <c r="C156" s="5">
        <v>13.0</v>
      </c>
      <c r="D156" s="5">
        <v>27.0</v>
      </c>
      <c r="E156" s="6">
        <v>0.68</v>
      </c>
      <c r="F156" s="7">
        <v>19.5</v>
      </c>
      <c r="G156" s="6">
        <v>0.3</v>
      </c>
      <c r="H156" s="8">
        <v>0.0344</v>
      </c>
      <c r="I156" s="8">
        <v>0.01763664576</v>
      </c>
      <c r="J156" s="9">
        <v>4.0</v>
      </c>
      <c r="K156" s="29" t="str">
        <f t="shared" si="1"/>
        <v>SMB</v>
      </c>
      <c r="L156" s="30">
        <f t="shared" si="2"/>
        <v>5.85</v>
      </c>
      <c r="M156" s="31">
        <f>PERCENTRANK(B$2:B$201,B156)*'Input Resturant Brands Scoring '!$B$3</f>
        <v>7.91</v>
      </c>
      <c r="N156" s="32">
        <f>(1-PERCENTRANK(J$2:J$201,J156))*'Input Resturant Brands Scoring '!$B$5</f>
        <v>17.1</v>
      </c>
      <c r="O156" s="31">
        <f>(1-PERCENTRANK(I$2:I$201,I156))*'Input Resturant Brands Scoring '!$B$6</f>
        <v>6.576</v>
      </c>
      <c r="P156" s="31">
        <f t="shared" si="3"/>
        <v>23.676</v>
      </c>
      <c r="Q156" s="31">
        <f>PERCENTRANK(L$2:L$201,L156)*'Input Resturant Brands Scoring '!$B$7</f>
        <v>21.805</v>
      </c>
      <c r="R156" s="31">
        <f t="shared" si="4"/>
        <v>53.391</v>
      </c>
      <c r="S156" s="12">
        <f t="shared" si="5"/>
        <v>90</v>
      </c>
      <c r="T156" s="12" t="str">
        <f t="shared" si="13"/>
        <v>B</v>
      </c>
      <c r="U156" s="33">
        <f t="shared" si="7"/>
        <v>106704</v>
      </c>
      <c r="V156" s="13">
        <f t="shared" si="8"/>
        <v>0.3</v>
      </c>
      <c r="W156" s="34">
        <f t="shared" si="9"/>
        <v>0</v>
      </c>
      <c r="X156" s="4">
        <f>IF(T156="S", B156*(1+'Input Fee and Elasticity Inputs'!$B$9), IF(T156="A", B156*(1+'Input Fee and Elasticity Inputs'!$B$10), IF(T156="B", B156*(1+'Input Fee and Elasticity Inputs'!$B$11), B156*(1+'Input Fee and Elasticity Inputs'!$B$12))))</f>
        <v>17328</v>
      </c>
      <c r="Y156" s="33">
        <f t="shared" si="10"/>
        <v>5.85</v>
      </c>
      <c r="Z156" s="33">
        <f t="shared" si="11"/>
        <v>101368.8</v>
      </c>
      <c r="AA156" s="33">
        <f t="shared" si="12"/>
        <v>-5335.2</v>
      </c>
    </row>
    <row r="157">
      <c r="A157" s="3" t="s">
        <v>165</v>
      </c>
      <c r="B157" s="4">
        <v>18000.0</v>
      </c>
      <c r="C157" s="5">
        <v>13.0</v>
      </c>
      <c r="D157" s="5">
        <v>19.0</v>
      </c>
      <c r="E157" s="6">
        <v>0.93</v>
      </c>
      <c r="F157" s="7">
        <v>22.5</v>
      </c>
      <c r="G157" s="6">
        <v>0.3</v>
      </c>
      <c r="H157" s="8">
        <v>0.0544</v>
      </c>
      <c r="I157" s="8">
        <v>0.017958540377999998</v>
      </c>
      <c r="J157" s="9">
        <v>6.0</v>
      </c>
      <c r="K157" s="29" t="str">
        <f t="shared" si="1"/>
        <v>SMB</v>
      </c>
      <c r="L157" s="30">
        <f t="shared" si="2"/>
        <v>6.75</v>
      </c>
      <c r="M157" s="31">
        <f>PERCENTRANK(B$2:B$201,B157)*'Input Resturant Brands Scoring '!$B$3</f>
        <v>7.735</v>
      </c>
      <c r="N157" s="32">
        <f>(1-PERCENTRANK(J$2:J$201,J157))*'Input Resturant Brands Scoring '!$B$5</f>
        <v>14.022</v>
      </c>
      <c r="O157" s="31">
        <f>(1-PERCENTRANK(I$2:I$201,I157))*'Input Resturant Brands Scoring '!$B$6</f>
        <v>6.276</v>
      </c>
      <c r="P157" s="31">
        <f t="shared" si="3"/>
        <v>20.298</v>
      </c>
      <c r="Q157" s="31">
        <f>PERCENTRANK(L$2:L$201,L157)*'Input Resturant Brands Scoring '!$B$7</f>
        <v>27.79</v>
      </c>
      <c r="R157" s="31">
        <f t="shared" si="4"/>
        <v>55.823</v>
      </c>
      <c r="S157" s="12">
        <f t="shared" si="5"/>
        <v>69</v>
      </c>
      <c r="T157" s="12" t="str">
        <f t="shared" si="13"/>
        <v>B</v>
      </c>
      <c r="U157" s="33">
        <f t="shared" si="7"/>
        <v>121500</v>
      </c>
      <c r="V157" s="13">
        <f t="shared" si="8"/>
        <v>0.3</v>
      </c>
      <c r="W157" s="34">
        <f t="shared" si="9"/>
        <v>0</v>
      </c>
      <c r="X157" s="4">
        <f>IF(T157="S", B157*(1+'Input Fee and Elasticity Inputs'!$B$9), IF(T157="A", B157*(1+'Input Fee and Elasticity Inputs'!$B$10), IF(T157="B", B157*(1+'Input Fee and Elasticity Inputs'!$B$11), B157*(1+'Input Fee and Elasticity Inputs'!$B$12))))</f>
        <v>17100</v>
      </c>
      <c r="Y157" s="33">
        <f t="shared" si="10"/>
        <v>6.75</v>
      </c>
      <c r="Z157" s="33">
        <f t="shared" si="11"/>
        <v>115425</v>
      </c>
      <c r="AA157" s="33">
        <f t="shared" si="12"/>
        <v>-6075</v>
      </c>
    </row>
    <row r="158">
      <c r="A158" s="3" t="s">
        <v>166</v>
      </c>
      <c r="B158" s="4">
        <v>17712.0</v>
      </c>
      <c r="C158" s="5">
        <v>7.0</v>
      </c>
      <c r="D158" s="5">
        <v>20.0</v>
      </c>
      <c r="E158" s="6">
        <v>0.87</v>
      </c>
      <c r="F158" s="7">
        <v>19.0</v>
      </c>
      <c r="G158" s="6">
        <v>0.23</v>
      </c>
      <c r="H158" s="8">
        <v>0.0592</v>
      </c>
      <c r="I158" s="8">
        <v>0.009844548228</v>
      </c>
      <c r="J158" s="9">
        <v>11.0</v>
      </c>
      <c r="K158" s="29" t="str">
        <f t="shared" si="1"/>
        <v>SMB</v>
      </c>
      <c r="L158" s="30">
        <f t="shared" si="2"/>
        <v>4.37</v>
      </c>
      <c r="M158" s="31">
        <f>PERCENTRANK(B$2:B$201,B158)*'Input Resturant Brands Scoring '!$B$3</f>
        <v>7.56</v>
      </c>
      <c r="N158" s="32">
        <f>(1-PERCENTRANK(J$2:J$201,J158))*'Input Resturant Brands Scoring '!$B$5</f>
        <v>8.136</v>
      </c>
      <c r="O158" s="31">
        <f>(1-PERCENTRANK(I$2:I$201,I158))*'Input Resturant Brands Scoring '!$B$6</f>
        <v>11.88</v>
      </c>
      <c r="P158" s="31">
        <f t="shared" si="3"/>
        <v>20.016</v>
      </c>
      <c r="Q158" s="31">
        <f>PERCENTRANK(L$2:L$201,L158)*'Input Resturant Brands Scoring '!$B$7</f>
        <v>6.86</v>
      </c>
      <c r="R158" s="31">
        <f t="shared" si="4"/>
        <v>34.436</v>
      </c>
      <c r="S158" s="12">
        <f t="shared" si="5"/>
        <v>171</v>
      </c>
      <c r="T158" s="12" t="str">
        <f t="shared" si="13"/>
        <v>C</v>
      </c>
      <c r="U158" s="33">
        <f t="shared" si="7"/>
        <v>77401.44</v>
      </c>
      <c r="V158" s="13">
        <f t="shared" si="8"/>
        <v>0.26</v>
      </c>
      <c r="W158" s="34">
        <f t="shared" si="9"/>
        <v>0.03</v>
      </c>
      <c r="X158" s="4">
        <f>IF(T158="S", B158*(1+'Input Fee and Elasticity Inputs'!$B$9), IF(T158="A", B158*(1+'Input Fee and Elasticity Inputs'!$B$10), IF(T158="B", B158*(1+'Input Fee and Elasticity Inputs'!$B$11), B158*(1+'Input Fee and Elasticity Inputs'!$B$12))))</f>
        <v>15055.2</v>
      </c>
      <c r="Y158" s="33">
        <f t="shared" si="10"/>
        <v>4.94</v>
      </c>
      <c r="Z158" s="33">
        <f t="shared" si="11"/>
        <v>74372.688</v>
      </c>
      <c r="AA158" s="33">
        <f t="shared" si="12"/>
        <v>-3028.752</v>
      </c>
    </row>
    <row r="159">
      <c r="A159" s="3" t="s">
        <v>167</v>
      </c>
      <c r="B159" s="4">
        <v>17280.0</v>
      </c>
      <c r="C159" s="5">
        <v>6.0</v>
      </c>
      <c r="D159" s="5">
        <v>11.0</v>
      </c>
      <c r="E159" s="6">
        <v>0.82</v>
      </c>
      <c r="F159" s="7">
        <v>22.3</v>
      </c>
      <c r="G159" s="6">
        <v>0.27</v>
      </c>
      <c r="H159" s="8">
        <v>0.044</v>
      </c>
      <c r="I159" s="8">
        <v>0.029892705282</v>
      </c>
      <c r="J159" s="9">
        <v>32.0</v>
      </c>
      <c r="K159" s="29" t="str">
        <f t="shared" si="1"/>
        <v>SMB</v>
      </c>
      <c r="L159" s="30">
        <f t="shared" si="2"/>
        <v>6.021</v>
      </c>
      <c r="M159" s="31">
        <f>PERCENTRANK(B$2:B$201,B159)*'Input Resturant Brands Scoring '!$B$3</f>
        <v>7.385</v>
      </c>
      <c r="N159" s="32">
        <f>(1-PERCENTRANK(J$2:J$201,J159))*'Input Resturant Brands Scoring '!$B$5</f>
        <v>1.26</v>
      </c>
      <c r="O159" s="31">
        <f>(1-PERCENTRANK(I$2:I$201,I159))*'Input Resturant Brands Scoring '!$B$6</f>
        <v>0.78</v>
      </c>
      <c r="P159" s="31">
        <f t="shared" si="3"/>
        <v>2.04</v>
      </c>
      <c r="Q159" s="31">
        <f>PERCENTRANK(L$2:L$201,L159)*'Input Resturant Brands Scoring '!$B$7</f>
        <v>23.205</v>
      </c>
      <c r="R159" s="31">
        <f t="shared" si="4"/>
        <v>32.63</v>
      </c>
      <c r="S159" s="12">
        <f t="shared" si="5"/>
        <v>178</v>
      </c>
      <c r="T159" s="12" t="str">
        <f t="shared" si="13"/>
        <v>C</v>
      </c>
      <c r="U159" s="33">
        <f t="shared" si="7"/>
        <v>104042.88</v>
      </c>
      <c r="V159" s="13">
        <f t="shared" si="8"/>
        <v>0.3</v>
      </c>
      <c r="W159" s="34">
        <f t="shared" si="9"/>
        <v>0.03</v>
      </c>
      <c r="X159" s="4">
        <f>IF(T159="S", B159*(1+'Input Fee and Elasticity Inputs'!$B$9), IF(T159="A", B159*(1+'Input Fee and Elasticity Inputs'!$B$10), IF(T159="B", B159*(1+'Input Fee and Elasticity Inputs'!$B$11), B159*(1+'Input Fee and Elasticity Inputs'!$B$12))))</f>
        <v>14688</v>
      </c>
      <c r="Y159" s="33">
        <f t="shared" si="10"/>
        <v>6.69</v>
      </c>
      <c r="Z159" s="33">
        <f t="shared" si="11"/>
        <v>98262.72</v>
      </c>
      <c r="AA159" s="33">
        <f t="shared" si="12"/>
        <v>-5780.16</v>
      </c>
    </row>
    <row r="160">
      <c r="A160" s="3" t="s">
        <v>168</v>
      </c>
      <c r="B160" s="4">
        <v>17172.0</v>
      </c>
      <c r="C160" s="5">
        <v>7.0</v>
      </c>
      <c r="D160" s="5">
        <v>54.0</v>
      </c>
      <c r="E160" s="6">
        <v>0.51</v>
      </c>
      <c r="F160" s="7">
        <v>18.0</v>
      </c>
      <c r="G160" s="6">
        <v>0.3</v>
      </c>
      <c r="H160" s="8">
        <v>0.0464</v>
      </c>
      <c r="I160" s="8">
        <v>0.028557623693999997</v>
      </c>
      <c r="J160" s="9">
        <v>15.0</v>
      </c>
      <c r="K160" s="29" t="str">
        <f t="shared" si="1"/>
        <v>SMB</v>
      </c>
      <c r="L160" s="30">
        <f t="shared" si="2"/>
        <v>5.4</v>
      </c>
      <c r="M160" s="31">
        <f>PERCENTRANK(B$2:B$201,B160)*'Input Resturant Brands Scoring '!$B$3</f>
        <v>7.21</v>
      </c>
      <c r="N160" s="32">
        <f>(1-PERCENTRANK(J$2:J$201,J160))*'Input Resturant Brands Scoring '!$B$5</f>
        <v>5.436</v>
      </c>
      <c r="O160" s="31">
        <f>(1-PERCENTRANK(I$2:I$201,I160))*'Input Resturant Brands Scoring '!$B$6</f>
        <v>1.452</v>
      </c>
      <c r="P160" s="31">
        <f t="shared" si="3"/>
        <v>6.888</v>
      </c>
      <c r="Q160" s="31">
        <f>PERCENTRANK(L$2:L$201,L160)*'Input Resturant Brands Scoring '!$B$7</f>
        <v>17.045</v>
      </c>
      <c r="R160" s="31">
        <f t="shared" si="4"/>
        <v>31.143</v>
      </c>
      <c r="S160" s="12">
        <f t="shared" si="5"/>
        <v>181</v>
      </c>
      <c r="T160" s="12" t="str">
        <f t="shared" si="13"/>
        <v>C</v>
      </c>
      <c r="U160" s="33">
        <f t="shared" si="7"/>
        <v>92728.8</v>
      </c>
      <c r="V160" s="13">
        <f t="shared" si="8"/>
        <v>0.3</v>
      </c>
      <c r="W160" s="34">
        <f t="shared" si="9"/>
        <v>0</v>
      </c>
      <c r="X160" s="4">
        <f>IF(T160="S", B160*(1+'Input Fee and Elasticity Inputs'!$B$9), IF(T160="A", B160*(1+'Input Fee and Elasticity Inputs'!$B$10), IF(T160="B", B160*(1+'Input Fee and Elasticity Inputs'!$B$11), B160*(1+'Input Fee and Elasticity Inputs'!$B$12))))</f>
        <v>14596.2</v>
      </c>
      <c r="Y160" s="33">
        <f t="shared" si="10"/>
        <v>5.4</v>
      </c>
      <c r="Z160" s="33">
        <f t="shared" si="11"/>
        <v>78819.48</v>
      </c>
      <c r="AA160" s="33">
        <f t="shared" si="12"/>
        <v>-13909.32</v>
      </c>
    </row>
    <row r="161">
      <c r="A161" s="3" t="s">
        <v>169</v>
      </c>
      <c r="B161" s="4">
        <v>16440.0</v>
      </c>
      <c r="C161" s="5">
        <v>7.0</v>
      </c>
      <c r="D161" s="5">
        <v>9.0</v>
      </c>
      <c r="E161" s="6">
        <v>0.07</v>
      </c>
      <c r="F161" s="7">
        <v>16.7</v>
      </c>
      <c r="G161" s="6">
        <v>0.3</v>
      </c>
      <c r="H161" s="8">
        <v>0.052</v>
      </c>
      <c r="I161" s="8">
        <v>0.028816190075999996</v>
      </c>
      <c r="J161" s="9">
        <v>25.0</v>
      </c>
      <c r="K161" s="29" t="str">
        <f t="shared" si="1"/>
        <v>SMB</v>
      </c>
      <c r="L161" s="30">
        <f t="shared" si="2"/>
        <v>5.01</v>
      </c>
      <c r="M161" s="31">
        <f>PERCENTRANK(B$2:B$201,B161)*'Input Resturant Brands Scoring '!$B$3</f>
        <v>7.035</v>
      </c>
      <c r="N161" s="32">
        <f>(1-PERCENTRANK(J$2:J$201,J161))*'Input Resturant Brands Scoring '!$B$5</f>
        <v>2.358</v>
      </c>
      <c r="O161" s="31">
        <f>(1-PERCENTRANK(I$2:I$201,I161))*'Input Resturant Brands Scoring '!$B$6</f>
        <v>1.332</v>
      </c>
      <c r="P161" s="31">
        <f t="shared" si="3"/>
        <v>3.69</v>
      </c>
      <c r="Q161" s="31">
        <f>PERCENTRANK(L$2:L$201,L161)*'Input Resturant Brands Scoring '!$B$7</f>
        <v>12.67</v>
      </c>
      <c r="R161" s="31">
        <f t="shared" si="4"/>
        <v>23.395</v>
      </c>
      <c r="S161" s="12">
        <f t="shared" si="5"/>
        <v>195</v>
      </c>
      <c r="T161" s="12" t="str">
        <f t="shared" si="13"/>
        <v>C</v>
      </c>
      <c r="U161" s="33">
        <f t="shared" si="7"/>
        <v>82364.4</v>
      </c>
      <c r="V161" s="13">
        <f t="shared" si="8"/>
        <v>0.3</v>
      </c>
      <c r="W161" s="34">
        <f t="shared" si="9"/>
        <v>0</v>
      </c>
      <c r="X161" s="4">
        <f>IF(T161="S", B161*(1+'Input Fee and Elasticity Inputs'!$B$9), IF(T161="A", B161*(1+'Input Fee and Elasticity Inputs'!$B$10), IF(T161="B", B161*(1+'Input Fee and Elasticity Inputs'!$B$11), B161*(1+'Input Fee and Elasticity Inputs'!$B$12))))</f>
        <v>13974</v>
      </c>
      <c r="Y161" s="33">
        <f t="shared" si="10"/>
        <v>5.01</v>
      </c>
      <c r="Z161" s="33">
        <f t="shared" si="11"/>
        <v>70009.74</v>
      </c>
      <c r="AA161" s="33">
        <f t="shared" si="12"/>
        <v>-12354.66</v>
      </c>
    </row>
    <row r="162">
      <c r="A162" s="3" t="s">
        <v>170</v>
      </c>
      <c r="B162" s="4">
        <v>16320.0</v>
      </c>
      <c r="C162" s="5">
        <v>6.0</v>
      </c>
      <c r="D162" s="5">
        <v>15.0</v>
      </c>
      <c r="E162" s="6">
        <v>0.67</v>
      </c>
      <c r="F162" s="7">
        <v>24.6</v>
      </c>
      <c r="G162" s="6">
        <v>0.3</v>
      </c>
      <c r="H162" s="8">
        <v>0.0736</v>
      </c>
      <c r="I162" s="8">
        <v>0.010304711651999999</v>
      </c>
      <c r="J162" s="9">
        <v>17.0</v>
      </c>
      <c r="K162" s="29" t="str">
        <f t="shared" si="1"/>
        <v>SMB</v>
      </c>
      <c r="L162" s="30">
        <f t="shared" si="2"/>
        <v>7.38</v>
      </c>
      <c r="M162" s="31">
        <f>PERCENTRANK(B$2:B$201,B162)*'Input Resturant Brands Scoring '!$B$3</f>
        <v>6.86</v>
      </c>
      <c r="N162" s="32">
        <f>(1-PERCENTRANK(J$2:J$201,J162))*'Input Resturant Brands Scoring '!$B$5</f>
        <v>4.608</v>
      </c>
      <c r="O162" s="31">
        <f>(1-PERCENTRANK(I$2:I$201,I162))*'Input Resturant Brands Scoring '!$B$6</f>
        <v>11.76</v>
      </c>
      <c r="P162" s="31">
        <f t="shared" si="3"/>
        <v>16.368</v>
      </c>
      <c r="Q162" s="31">
        <f>PERCENTRANK(L$2:L$201,L162)*'Input Resturant Brands Scoring '!$B$7</f>
        <v>30.765</v>
      </c>
      <c r="R162" s="31">
        <f t="shared" si="4"/>
        <v>53.993</v>
      </c>
      <c r="S162" s="12">
        <f t="shared" si="5"/>
        <v>85</v>
      </c>
      <c r="T162" s="12" t="str">
        <f t="shared" si="13"/>
        <v>B</v>
      </c>
      <c r="U162" s="33">
        <f t="shared" si="7"/>
        <v>120441.6</v>
      </c>
      <c r="V162" s="13">
        <f t="shared" si="8"/>
        <v>0.3</v>
      </c>
      <c r="W162" s="34">
        <f t="shared" si="9"/>
        <v>0</v>
      </c>
      <c r="X162" s="4">
        <f>IF(T162="S", B162*(1+'Input Fee and Elasticity Inputs'!$B$9), IF(T162="A", B162*(1+'Input Fee and Elasticity Inputs'!$B$10), IF(T162="B", B162*(1+'Input Fee and Elasticity Inputs'!$B$11), B162*(1+'Input Fee and Elasticity Inputs'!$B$12))))</f>
        <v>15504</v>
      </c>
      <c r="Y162" s="33">
        <f t="shared" si="10"/>
        <v>7.38</v>
      </c>
      <c r="Z162" s="33">
        <f t="shared" si="11"/>
        <v>114419.52</v>
      </c>
      <c r="AA162" s="33">
        <f t="shared" si="12"/>
        <v>-6022.08</v>
      </c>
    </row>
    <row r="163">
      <c r="A163" s="3" t="s">
        <v>171</v>
      </c>
      <c r="B163" s="4">
        <v>16224.0</v>
      </c>
      <c r="C163" s="5">
        <v>6.0</v>
      </c>
      <c r="D163" s="5">
        <v>23.0</v>
      </c>
      <c r="E163" s="6">
        <v>0.51</v>
      </c>
      <c r="F163" s="7">
        <v>20.0</v>
      </c>
      <c r="G163" s="6">
        <v>0.28</v>
      </c>
      <c r="H163" s="8">
        <v>0.0284</v>
      </c>
      <c r="I163" s="8">
        <v>0.028861417542</v>
      </c>
      <c r="J163" s="9">
        <v>14.0</v>
      </c>
      <c r="K163" s="29" t="str">
        <f t="shared" si="1"/>
        <v>SMB</v>
      </c>
      <c r="L163" s="30">
        <f t="shared" si="2"/>
        <v>5.6</v>
      </c>
      <c r="M163" s="31">
        <f>PERCENTRANK(B$2:B$201,B163)*'Input Resturant Brands Scoring '!$B$3</f>
        <v>6.685</v>
      </c>
      <c r="N163" s="32">
        <f>(1-PERCENTRANK(J$2:J$201,J163))*'Input Resturant Brands Scoring '!$B$5</f>
        <v>6.426</v>
      </c>
      <c r="O163" s="31">
        <f>(1-PERCENTRANK(I$2:I$201,I163))*'Input Resturant Brands Scoring '!$B$6</f>
        <v>1.272</v>
      </c>
      <c r="P163" s="31">
        <f t="shared" si="3"/>
        <v>7.698</v>
      </c>
      <c r="Q163" s="31">
        <f>PERCENTRANK(L$2:L$201,L163)*'Input Resturant Brands Scoring '!$B$7</f>
        <v>20.055</v>
      </c>
      <c r="R163" s="31">
        <f t="shared" si="4"/>
        <v>34.438</v>
      </c>
      <c r="S163" s="12">
        <f t="shared" si="5"/>
        <v>170</v>
      </c>
      <c r="T163" s="12" t="str">
        <f t="shared" si="13"/>
        <v>C</v>
      </c>
      <c r="U163" s="33">
        <f t="shared" si="7"/>
        <v>90854.4</v>
      </c>
      <c r="V163" s="13">
        <f t="shared" si="8"/>
        <v>0.3</v>
      </c>
      <c r="W163" s="34">
        <f t="shared" si="9"/>
        <v>0.02</v>
      </c>
      <c r="X163" s="4">
        <f>IF(T163="S", B163*(1+'Input Fee and Elasticity Inputs'!$B$9), IF(T163="A", B163*(1+'Input Fee and Elasticity Inputs'!$B$10), IF(T163="B", B163*(1+'Input Fee and Elasticity Inputs'!$B$11), B163*(1+'Input Fee and Elasticity Inputs'!$B$12))))</f>
        <v>13790.4</v>
      </c>
      <c r="Y163" s="33">
        <f t="shared" si="10"/>
        <v>6</v>
      </c>
      <c r="Z163" s="33">
        <f t="shared" si="11"/>
        <v>82742.4</v>
      </c>
      <c r="AA163" s="33">
        <f t="shared" si="12"/>
        <v>-8112</v>
      </c>
    </row>
    <row r="164">
      <c r="A164" s="3" t="s">
        <v>172</v>
      </c>
      <c r="B164" s="4">
        <v>15120.0</v>
      </c>
      <c r="C164" s="5">
        <v>8.0</v>
      </c>
      <c r="D164" s="5">
        <v>29.0</v>
      </c>
      <c r="E164" s="6">
        <v>0.2</v>
      </c>
      <c r="F164" s="7">
        <v>17.1</v>
      </c>
      <c r="G164" s="6">
        <v>0.3</v>
      </c>
      <c r="H164" s="8">
        <v>0.0832</v>
      </c>
      <c r="I164" s="8">
        <v>0.014155418298</v>
      </c>
      <c r="J164" s="9">
        <v>3.0</v>
      </c>
      <c r="K164" s="29" t="str">
        <f t="shared" si="1"/>
        <v>SMB</v>
      </c>
      <c r="L164" s="30">
        <f t="shared" si="2"/>
        <v>5.13</v>
      </c>
      <c r="M164" s="31">
        <f>PERCENTRANK(B$2:B$201,B164)*'Input Resturant Brands Scoring '!$B$3</f>
        <v>6.51</v>
      </c>
      <c r="N164" s="32">
        <f>(1-PERCENTRANK(J$2:J$201,J164))*'Input Resturant Brands Scoring '!$B$5</f>
        <v>18</v>
      </c>
      <c r="O164" s="31">
        <f>(1-PERCENTRANK(I$2:I$201,I164))*'Input Resturant Brands Scoring '!$B$6</f>
        <v>9.768</v>
      </c>
      <c r="P164" s="31">
        <f t="shared" si="3"/>
        <v>27.768</v>
      </c>
      <c r="Q164" s="31">
        <f>PERCENTRANK(L$2:L$201,L164)*'Input Resturant Brands Scoring '!$B$7</f>
        <v>14.245</v>
      </c>
      <c r="R164" s="31">
        <f t="shared" si="4"/>
        <v>48.523</v>
      </c>
      <c r="S164" s="12">
        <f t="shared" si="5"/>
        <v>112</v>
      </c>
      <c r="T164" s="12" t="str">
        <f t="shared" si="13"/>
        <v>B</v>
      </c>
      <c r="U164" s="33">
        <f t="shared" si="7"/>
        <v>77565.6</v>
      </c>
      <c r="V164" s="13">
        <f t="shared" si="8"/>
        <v>0.3</v>
      </c>
      <c r="W164" s="34">
        <f t="shared" si="9"/>
        <v>0</v>
      </c>
      <c r="X164" s="4">
        <f>IF(T164="S", B164*(1+'Input Fee and Elasticity Inputs'!$B$9), IF(T164="A", B164*(1+'Input Fee and Elasticity Inputs'!$B$10), IF(T164="B", B164*(1+'Input Fee and Elasticity Inputs'!$B$11), B164*(1+'Input Fee and Elasticity Inputs'!$B$12))))</f>
        <v>14364</v>
      </c>
      <c r="Y164" s="33">
        <f t="shared" si="10"/>
        <v>5.13</v>
      </c>
      <c r="Z164" s="33">
        <f t="shared" si="11"/>
        <v>73687.32</v>
      </c>
      <c r="AA164" s="33">
        <f t="shared" si="12"/>
        <v>-3878.28</v>
      </c>
    </row>
    <row r="165">
      <c r="A165" s="3" t="s">
        <v>173</v>
      </c>
      <c r="B165" s="4">
        <v>14904.0</v>
      </c>
      <c r="C165" s="5">
        <v>7.0</v>
      </c>
      <c r="D165" s="5">
        <v>23.0</v>
      </c>
      <c r="E165" s="6">
        <v>0.31</v>
      </c>
      <c r="F165" s="7">
        <v>17.5</v>
      </c>
      <c r="G165" s="6">
        <v>0.3</v>
      </c>
      <c r="H165" s="8">
        <v>0.0252</v>
      </c>
      <c r="I165" s="8">
        <v>0.02353482999</v>
      </c>
      <c r="J165" s="9">
        <v>3.0</v>
      </c>
      <c r="K165" s="29" t="str">
        <f t="shared" si="1"/>
        <v>SMB</v>
      </c>
      <c r="L165" s="30">
        <f t="shared" si="2"/>
        <v>5.25</v>
      </c>
      <c r="M165" s="31">
        <f>PERCENTRANK(B$2:B$201,B165)*'Input Resturant Brands Scoring '!$B$3</f>
        <v>6.335</v>
      </c>
      <c r="N165" s="32">
        <f>(1-PERCENTRANK(J$2:J$201,J165))*'Input Resturant Brands Scoring '!$B$5</f>
        <v>18</v>
      </c>
      <c r="O165" s="31">
        <f>(1-PERCENTRANK(I$2:I$201,I165))*'Input Resturant Brands Scoring '!$B$6</f>
        <v>3.372</v>
      </c>
      <c r="P165" s="31">
        <f t="shared" si="3"/>
        <v>21.372</v>
      </c>
      <c r="Q165" s="31">
        <f>PERCENTRANK(L$2:L$201,L165)*'Input Resturant Brands Scoring '!$B$7</f>
        <v>15.82</v>
      </c>
      <c r="R165" s="31">
        <f t="shared" si="4"/>
        <v>43.527</v>
      </c>
      <c r="S165" s="12">
        <f t="shared" si="5"/>
        <v>138</v>
      </c>
      <c r="T165" s="12" t="str">
        <f t="shared" si="13"/>
        <v>B</v>
      </c>
      <c r="U165" s="33">
        <f t="shared" si="7"/>
        <v>78246</v>
      </c>
      <c r="V165" s="13">
        <f t="shared" si="8"/>
        <v>0.3</v>
      </c>
      <c r="W165" s="34">
        <f t="shared" si="9"/>
        <v>0</v>
      </c>
      <c r="X165" s="4">
        <f>IF(T165="S", B165*(1+'Input Fee and Elasticity Inputs'!$B$9), IF(T165="A", B165*(1+'Input Fee and Elasticity Inputs'!$B$10), IF(T165="B", B165*(1+'Input Fee and Elasticity Inputs'!$B$11), B165*(1+'Input Fee and Elasticity Inputs'!$B$12))))</f>
        <v>14158.8</v>
      </c>
      <c r="Y165" s="33">
        <f t="shared" si="10"/>
        <v>5.25</v>
      </c>
      <c r="Z165" s="33">
        <f t="shared" si="11"/>
        <v>74333.7</v>
      </c>
      <c r="AA165" s="33">
        <f t="shared" si="12"/>
        <v>-3912.3</v>
      </c>
    </row>
    <row r="166">
      <c r="A166" s="3" t="s">
        <v>174</v>
      </c>
      <c r="B166" s="4">
        <v>14784.0</v>
      </c>
      <c r="C166" s="5">
        <v>14.0</v>
      </c>
      <c r="D166" s="5">
        <v>43.0</v>
      </c>
      <c r="E166" s="6">
        <v>0.23</v>
      </c>
      <c r="F166" s="7">
        <v>14.9</v>
      </c>
      <c r="G166" s="6">
        <v>0.26</v>
      </c>
      <c r="H166" s="8">
        <v>0.0</v>
      </c>
      <c r="I166" s="8">
        <v>0.016803891624</v>
      </c>
      <c r="J166" s="9">
        <v>4.0</v>
      </c>
      <c r="K166" s="29" t="str">
        <f t="shared" si="1"/>
        <v>SMB</v>
      </c>
      <c r="L166" s="30">
        <f t="shared" si="2"/>
        <v>3.874</v>
      </c>
      <c r="M166" s="31">
        <f>PERCENTRANK(B$2:B$201,B166)*'Input Resturant Brands Scoring '!$B$3</f>
        <v>6.16</v>
      </c>
      <c r="N166" s="32">
        <f>(1-PERCENTRANK(J$2:J$201,J166))*'Input Resturant Brands Scoring '!$B$5</f>
        <v>17.1</v>
      </c>
      <c r="O166" s="31">
        <f>(1-PERCENTRANK(I$2:I$201,I166))*'Input Resturant Brands Scoring '!$B$6</f>
        <v>7.176</v>
      </c>
      <c r="P166" s="31">
        <f t="shared" si="3"/>
        <v>24.276</v>
      </c>
      <c r="Q166" s="31">
        <f>PERCENTRANK(L$2:L$201,L166)*'Input Resturant Brands Scoring '!$B$7</f>
        <v>2.8</v>
      </c>
      <c r="R166" s="31">
        <f t="shared" si="4"/>
        <v>33.236</v>
      </c>
      <c r="S166" s="12">
        <f t="shared" si="5"/>
        <v>172</v>
      </c>
      <c r="T166" s="12" t="str">
        <f t="shared" si="13"/>
        <v>C</v>
      </c>
      <c r="U166" s="33">
        <f t="shared" si="7"/>
        <v>57273.216</v>
      </c>
      <c r="V166" s="13">
        <f t="shared" si="8"/>
        <v>0.29</v>
      </c>
      <c r="W166" s="34">
        <f t="shared" si="9"/>
        <v>0.03</v>
      </c>
      <c r="X166" s="4">
        <f>IF(T166="S", B166*(1+'Input Fee and Elasticity Inputs'!$B$9), IF(T166="A", B166*(1+'Input Fee and Elasticity Inputs'!$B$10), IF(T166="B", B166*(1+'Input Fee and Elasticity Inputs'!$B$11), B166*(1+'Input Fee and Elasticity Inputs'!$B$12))))</f>
        <v>12566.4</v>
      </c>
      <c r="Y166" s="33">
        <f t="shared" si="10"/>
        <v>4.321</v>
      </c>
      <c r="Z166" s="33">
        <f t="shared" si="11"/>
        <v>54299.4144</v>
      </c>
      <c r="AA166" s="33">
        <f t="shared" si="12"/>
        <v>-2973.8016</v>
      </c>
    </row>
    <row r="167">
      <c r="A167" s="3" t="s">
        <v>175</v>
      </c>
      <c r="B167" s="4">
        <v>14520.0</v>
      </c>
      <c r="C167" s="5">
        <v>6.0</v>
      </c>
      <c r="D167" s="5">
        <v>12.0</v>
      </c>
      <c r="E167" s="6">
        <v>0.68</v>
      </c>
      <c r="F167" s="7">
        <v>19.8</v>
      </c>
      <c r="G167" s="6">
        <v>0.3</v>
      </c>
      <c r="H167" s="8">
        <v>0.0592</v>
      </c>
      <c r="I167" s="8">
        <v>0.018657574374</v>
      </c>
      <c r="J167" s="9">
        <v>8.0</v>
      </c>
      <c r="K167" s="29" t="str">
        <f t="shared" si="1"/>
        <v>SMB</v>
      </c>
      <c r="L167" s="30">
        <f t="shared" si="2"/>
        <v>5.94</v>
      </c>
      <c r="M167" s="31">
        <f>PERCENTRANK(B$2:B$201,B167)*'Input Resturant Brands Scoring '!$B$3</f>
        <v>5.985</v>
      </c>
      <c r="N167" s="32">
        <f>(1-PERCENTRANK(J$2:J$201,J167))*'Input Resturant Brands Scoring '!$B$5</f>
        <v>11.574</v>
      </c>
      <c r="O167" s="31">
        <f>(1-PERCENTRANK(I$2:I$201,I167))*'Input Resturant Brands Scoring '!$B$6</f>
        <v>6.036</v>
      </c>
      <c r="P167" s="31">
        <f t="shared" si="3"/>
        <v>17.61</v>
      </c>
      <c r="Q167" s="31">
        <f>PERCENTRANK(L$2:L$201,L167)*'Input Resturant Brands Scoring '!$B$7</f>
        <v>22.68</v>
      </c>
      <c r="R167" s="31">
        <f t="shared" si="4"/>
        <v>46.275</v>
      </c>
      <c r="S167" s="12">
        <f t="shared" si="5"/>
        <v>126</v>
      </c>
      <c r="T167" s="12" t="str">
        <f t="shared" si="13"/>
        <v>B</v>
      </c>
      <c r="U167" s="33">
        <f t="shared" si="7"/>
        <v>86248.8</v>
      </c>
      <c r="V167" s="13">
        <f t="shared" si="8"/>
        <v>0.3</v>
      </c>
      <c r="W167" s="34">
        <f t="shared" si="9"/>
        <v>0</v>
      </c>
      <c r="X167" s="4">
        <f>IF(T167="S", B167*(1+'Input Fee and Elasticity Inputs'!$B$9), IF(T167="A", B167*(1+'Input Fee and Elasticity Inputs'!$B$10), IF(T167="B", B167*(1+'Input Fee and Elasticity Inputs'!$B$11), B167*(1+'Input Fee and Elasticity Inputs'!$B$12))))</f>
        <v>13794</v>
      </c>
      <c r="Y167" s="33">
        <f t="shared" si="10"/>
        <v>5.94</v>
      </c>
      <c r="Z167" s="33">
        <f t="shared" si="11"/>
        <v>81936.36</v>
      </c>
      <c r="AA167" s="33">
        <f t="shared" si="12"/>
        <v>-4312.44</v>
      </c>
    </row>
    <row r="168">
      <c r="A168" s="3" t="s">
        <v>176</v>
      </c>
      <c r="B168" s="4">
        <v>14364.0</v>
      </c>
      <c r="C168" s="5">
        <v>6.0</v>
      </c>
      <c r="D168" s="5">
        <v>7.0</v>
      </c>
      <c r="E168" s="6">
        <v>0.06</v>
      </c>
      <c r="F168" s="7">
        <v>26.9</v>
      </c>
      <c r="G168" s="6">
        <v>0.3</v>
      </c>
      <c r="H168" s="8">
        <v>0.0508</v>
      </c>
      <c r="I168" s="8">
        <v>0.021659550474000002</v>
      </c>
      <c r="J168" s="9">
        <v>15.0</v>
      </c>
      <c r="K168" s="29" t="str">
        <f t="shared" si="1"/>
        <v>SMB</v>
      </c>
      <c r="L168" s="30">
        <f t="shared" si="2"/>
        <v>8.07</v>
      </c>
      <c r="M168" s="31">
        <f>PERCENTRANK(B$2:B$201,B168)*'Input Resturant Brands Scoring '!$B$3</f>
        <v>5.81</v>
      </c>
      <c r="N168" s="32">
        <f>(1-PERCENTRANK(J$2:J$201,J168))*'Input Resturant Brands Scoring '!$B$5</f>
        <v>5.436</v>
      </c>
      <c r="O168" s="31">
        <f>(1-PERCENTRANK(I$2:I$201,I168))*'Input Resturant Brands Scoring '!$B$6</f>
        <v>4.644</v>
      </c>
      <c r="P168" s="31">
        <f t="shared" si="3"/>
        <v>10.08</v>
      </c>
      <c r="Q168" s="31">
        <f>PERCENTRANK(L$2:L$201,L168)*'Input Resturant Brands Scoring '!$B$7</f>
        <v>32.725</v>
      </c>
      <c r="R168" s="31">
        <f t="shared" si="4"/>
        <v>48.615</v>
      </c>
      <c r="S168" s="12">
        <f t="shared" si="5"/>
        <v>111</v>
      </c>
      <c r="T168" s="12" t="str">
        <f t="shared" si="13"/>
        <v>B</v>
      </c>
      <c r="U168" s="33">
        <f t="shared" si="7"/>
        <v>115917.48</v>
      </c>
      <c r="V168" s="13">
        <f t="shared" si="8"/>
        <v>0.3</v>
      </c>
      <c r="W168" s="34">
        <f t="shared" si="9"/>
        <v>0</v>
      </c>
      <c r="X168" s="4">
        <f>IF(T168="S", B168*(1+'Input Fee and Elasticity Inputs'!$B$9), IF(T168="A", B168*(1+'Input Fee and Elasticity Inputs'!$B$10), IF(T168="B", B168*(1+'Input Fee and Elasticity Inputs'!$B$11), B168*(1+'Input Fee and Elasticity Inputs'!$B$12))))</f>
        <v>13645.8</v>
      </c>
      <c r="Y168" s="33">
        <f t="shared" si="10"/>
        <v>8.07</v>
      </c>
      <c r="Z168" s="33">
        <f t="shared" si="11"/>
        <v>110121.606</v>
      </c>
      <c r="AA168" s="33">
        <f t="shared" si="12"/>
        <v>-5795.874</v>
      </c>
    </row>
    <row r="169">
      <c r="A169" s="3" t="s">
        <v>177</v>
      </c>
      <c r="B169" s="4">
        <v>14256.0</v>
      </c>
      <c r="C169" s="5">
        <v>8.0</v>
      </c>
      <c r="D169" s="5">
        <v>19.0</v>
      </c>
      <c r="E169" s="6">
        <v>0.87</v>
      </c>
      <c r="F169" s="7">
        <v>18.6</v>
      </c>
      <c r="G169" s="6">
        <v>0.3</v>
      </c>
      <c r="H169" s="8">
        <v>0.1252</v>
      </c>
      <c r="I169" s="8">
        <v>0.024076386930000002</v>
      </c>
      <c r="J169" s="9">
        <v>5.0</v>
      </c>
      <c r="K169" s="29" t="str">
        <f t="shared" si="1"/>
        <v>SMB</v>
      </c>
      <c r="L169" s="30">
        <f t="shared" si="2"/>
        <v>5.58</v>
      </c>
      <c r="M169" s="31">
        <f>PERCENTRANK(B$2:B$201,B169)*'Input Resturant Brands Scoring '!$B$3</f>
        <v>5.635</v>
      </c>
      <c r="N169" s="32">
        <f>(1-PERCENTRANK(J$2:J$201,J169))*'Input Resturant Brands Scoring '!$B$5</f>
        <v>15.462</v>
      </c>
      <c r="O169" s="31">
        <f>(1-PERCENTRANK(I$2:I$201,I169))*'Input Resturant Brands Scoring '!$B$6</f>
        <v>2.952</v>
      </c>
      <c r="P169" s="31">
        <f t="shared" si="3"/>
        <v>18.414</v>
      </c>
      <c r="Q169" s="31">
        <f>PERCENTRANK(L$2:L$201,L169)*'Input Resturant Brands Scoring '!$B$7</f>
        <v>19.705</v>
      </c>
      <c r="R169" s="31">
        <f t="shared" si="4"/>
        <v>43.754</v>
      </c>
      <c r="S169" s="12">
        <f t="shared" si="5"/>
        <v>136</v>
      </c>
      <c r="T169" s="12" t="str">
        <f t="shared" si="13"/>
        <v>B</v>
      </c>
      <c r="U169" s="33">
        <f t="shared" si="7"/>
        <v>79548.48</v>
      </c>
      <c r="V169" s="13">
        <f t="shared" si="8"/>
        <v>0.3</v>
      </c>
      <c r="W169" s="34">
        <f t="shared" si="9"/>
        <v>0</v>
      </c>
      <c r="X169" s="4">
        <f>IF(T169="S", B169*(1+'Input Fee and Elasticity Inputs'!$B$9), IF(T169="A", B169*(1+'Input Fee and Elasticity Inputs'!$B$10), IF(T169="B", B169*(1+'Input Fee and Elasticity Inputs'!$B$11), B169*(1+'Input Fee and Elasticity Inputs'!$B$12))))</f>
        <v>13543.2</v>
      </c>
      <c r="Y169" s="33">
        <f t="shared" si="10"/>
        <v>5.58</v>
      </c>
      <c r="Z169" s="33">
        <f t="shared" si="11"/>
        <v>75571.056</v>
      </c>
      <c r="AA169" s="33">
        <f t="shared" si="12"/>
        <v>-3977.424</v>
      </c>
    </row>
    <row r="170">
      <c r="A170" s="3" t="s">
        <v>178</v>
      </c>
      <c r="B170" s="4">
        <v>14112.0</v>
      </c>
      <c r="C170" s="5">
        <v>6.0</v>
      </c>
      <c r="D170" s="5">
        <v>27.0</v>
      </c>
      <c r="E170" s="6">
        <v>0.42</v>
      </c>
      <c r="F170" s="7">
        <v>15.8</v>
      </c>
      <c r="G170" s="6">
        <v>0.3</v>
      </c>
      <c r="H170" s="8">
        <v>0.0392</v>
      </c>
      <c r="I170" s="8">
        <v>0.024434145468</v>
      </c>
      <c r="J170" s="9">
        <v>14.0</v>
      </c>
      <c r="K170" s="29" t="str">
        <f t="shared" si="1"/>
        <v>SMB</v>
      </c>
      <c r="L170" s="30">
        <f t="shared" si="2"/>
        <v>4.74</v>
      </c>
      <c r="M170" s="31">
        <f>PERCENTRANK(B$2:B$201,B170)*'Input Resturant Brands Scoring '!$B$3</f>
        <v>5.46</v>
      </c>
      <c r="N170" s="32">
        <f>(1-PERCENTRANK(J$2:J$201,J170))*'Input Resturant Brands Scoring '!$B$5</f>
        <v>6.426</v>
      </c>
      <c r="O170" s="31">
        <f>(1-PERCENTRANK(I$2:I$201,I170))*'Input Resturant Brands Scoring '!$B$6</f>
        <v>2.712</v>
      </c>
      <c r="P170" s="31">
        <f t="shared" si="3"/>
        <v>9.138</v>
      </c>
      <c r="Q170" s="31">
        <f>PERCENTRANK(L$2:L$201,L170)*'Input Resturant Brands Scoring '!$B$7</f>
        <v>10.185</v>
      </c>
      <c r="R170" s="31">
        <f t="shared" si="4"/>
        <v>24.783</v>
      </c>
      <c r="S170" s="12">
        <f t="shared" si="5"/>
        <v>193</v>
      </c>
      <c r="T170" s="12" t="str">
        <f t="shared" si="13"/>
        <v>C</v>
      </c>
      <c r="U170" s="33">
        <f t="shared" si="7"/>
        <v>66890.88</v>
      </c>
      <c r="V170" s="13">
        <f t="shared" si="8"/>
        <v>0.3</v>
      </c>
      <c r="W170" s="34">
        <f t="shared" si="9"/>
        <v>0</v>
      </c>
      <c r="X170" s="4">
        <f>IF(T170="S", B170*(1+'Input Fee and Elasticity Inputs'!$B$9), IF(T170="A", B170*(1+'Input Fee and Elasticity Inputs'!$B$10), IF(T170="B", B170*(1+'Input Fee and Elasticity Inputs'!$B$11), B170*(1+'Input Fee and Elasticity Inputs'!$B$12))))</f>
        <v>11995.2</v>
      </c>
      <c r="Y170" s="33">
        <f t="shared" si="10"/>
        <v>4.74</v>
      </c>
      <c r="Z170" s="33">
        <f t="shared" si="11"/>
        <v>56857.248</v>
      </c>
      <c r="AA170" s="33">
        <f t="shared" si="12"/>
        <v>-10033.632</v>
      </c>
    </row>
    <row r="171">
      <c r="A171" s="3" t="s">
        <v>179</v>
      </c>
      <c r="B171" s="4">
        <v>13776.0</v>
      </c>
      <c r="C171" s="5">
        <v>9.0</v>
      </c>
      <c r="D171" s="5">
        <v>19.0</v>
      </c>
      <c r="E171" s="6">
        <v>0.52</v>
      </c>
      <c r="F171" s="7">
        <v>16.7</v>
      </c>
      <c r="G171" s="6">
        <v>0.29</v>
      </c>
      <c r="H171" s="8">
        <v>0.0328</v>
      </c>
      <c r="I171" s="8">
        <v>0.010077351383999998</v>
      </c>
      <c r="J171" s="9">
        <v>22.0</v>
      </c>
      <c r="K171" s="29" t="str">
        <f t="shared" si="1"/>
        <v>SMB</v>
      </c>
      <c r="L171" s="30">
        <f t="shared" si="2"/>
        <v>4.843</v>
      </c>
      <c r="M171" s="31">
        <f>PERCENTRANK(B$2:B$201,B171)*'Input Resturant Brands Scoring '!$B$3</f>
        <v>5.285</v>
      </c>
      <c r="N171" s="32">
        <f>(1-PERCENTRANK(J$2:J$201,J171))*'Input Resturant Brands Scoring '!$B$5</f>
        <v>3.078</v>
      </c>
      <c r="O171" s="31">
        <f>(1-PERCENTRANK(I$2:I$201,I171))*'Input Resturant Brands Scoring '!$B$6</f>
        <v>11.82</v>
      </c>
      <c r="P171" s="31">
        <f t="shared" si="3"/>
        <v>14.898</v>
      </c>
      <c r="Q171" s="31">
        <f>PERCENTRANK(L$2:L$201,L171)*'Input Resturant Brands Scoring '!$B$7</f>
        <v>11.62</v>
      </c>
      <c r="R171" s="31">
        <f t="shared" si="4"/>
        <v>31.803</v>
      </c>
      <c r="S171" s="12">
        <f t="shared" si="5"/>
        <v>179</v>
      </c>
      <c r="T171" s="12" t="str">
        <f t="shared" si="13"/>
        <v>C</v>
      </c>
      <c r="U171" s="33">
        <f t="shared" si="7"/>
        <v>66717.168</v>
      </c>
      <c r="V171" s="13">
        <f t="shared" si="8"/>
        <v>0.3</v>
      </c>
      <c r="W171" s="34">
        <f t="shared" si="9"/>
        <v>0.01</v>
      </c>
      <c r="X171" s="4">
        <f>IF(T171="S", B171*(1+'Input Fee and Elasticity Inputs'!$B$9), IF(T171="A", B171*(1+'Input Fee and Elasticity Inputs'!$B$10), IF(T171="B", B171*(1+'Input Fee and Elasticity Inputs'!$B$11), B171*(1+'Input Fee and Elasticity Inputs'!$B$12))))</f>
        <v>11709.6</v>
      </c>
      <c r="Y171" s="33">
        <f t="shared" si="10"/>
        <v>5.01</v>
      </c>
      <c r="Z171" s="33">
        <f t="shared" si="11"/>
        <v>58665.096</v>
      </c>
      <c r="AA171" s="33">
        <f t="shared" si="12"/>
        <v>-8052.072</v>
      </c>
    </row>
    <row r="172">
      <c r="A172" s="3" t="s">
        <v>180</v>
      </c>
      <c r="B172" s="4">
        <v>12672.0</v>
      </c>
      <c r="C172" s="5">
        <v>8.0</v>
      </c>
      <c r="D172" s="5">
        <v>19.0</v>
      </c>
      <c r="E172" s="6">
        <v>0.63</v>
      </c>
      <c r="F172" s="7">
        <v>23.4</v>
      </c>
      <c r="G172" s="6">
        <v>0.3</v>
      </c>
      <c r="H172" s="8">
        <v>0.0492</v>
      </c>
      <c r="I172" s="8">
        <v>0.009803251068</v>
      </c>
      <c r="J172" s="9">
        <v>9.0</v>
      </c>
      <c r="K172" s="29" t="str">
        <f t="shared" si="1"/>
        <v>SMB</v>
      </c>
      <c r="L172" s="30">
        <f t="shared" si="2"/>
        <v>7.02</v>
      </c>
      <c r="M172" s="31">
        <f>PERCENTRANK(B$2:B$201,B172)*'Input Resturant Brands Scoring '!$B$3</f>
        <v>5.11</v>
      </c>
      <c r="N172" s="32">
        <f>(1-PERCENTRANK(J$2:J$201,J172))*'Input Resturant Brands Scoring '!$B$5</f>
        <v>10.044</v>
      </c>
      <c r="O172" s="31">
        <f>(1-PERCENTRANK(I$2:I$201,I172))*'Input Resturant Brands Scoring '!$B$6</f>
        <v>12</v>
      </c>
      <c r="P172" s="31">
        <f t="shared" si="3"/>
        <v>22.044</v>
      </c>
      <c r="Q172" s="31">
        <f>PERCENTRANK(L$2:L$201,L172)*'Input Resturant Brands Scoring '!$B$7</f>
        <v>28.665</v>
      </c>
      <c r="R172" s="31">
        <f t="shared" si="4"/>
        <v>55.819</v>
      </c>
      <c r="S172" s="12">
        <f t="shared" si="5"/>
        <v>70</v>
      </c>
      <c r="T172" s="12" t="str">
        <f t="shared" si="13"/>
        <v>B</v>
      </c>
      <c r="U172" s="33">
        <f t="shared" si="7"/>
        <v>88957.44</v>
      </c>
      <c r="V172" s="13">
        <f t="shared" si="8"/>
        <v>0.3</v>
      </c>
      <c r="W172" s="34">
        <f t="shared" si="9"/>
        <v>0</v>
      </c>
      <c r="X172" s="4">
        <f>IF(T172="S", B172*(1+'Input Fee and Elasticity Inputs'!$B$9), IF(T172="A", B172*(1+'Input Fee and Elasticity Inputs'!$B$10), IF(T172="B", B172*(1+'Input Fee and Elasticity Inputs'!$B$11), B172*(1+'Input Fee and Elasticity Inputs'!$B$12))))</f>
        <v>12038.4</v>
      </c>
      <c r="Y172" s="33">
        <f t="shared" si="10"/>
        <v>7.02</v>
      </c>
      <c r="Z172" s="33">
        <f t="shared" si="11"/>
        <v>84509.568</v>
      </c>
      <c r="AA172" s="33">
        <f t="shared" si="12"/>
        <v>-4447.872</v>
      </c>
    </row>
    <row r="173">
      <c r="A173" s="3" t="s">
        <v>181</v>
      </c>
      <c r="B173" s="4">
        <v>11748.0</v>
      </c>
      <c r="C173" s="5">
        <v>7.0</v>
      </c>
      <c r="D173" s="5">
        <v>16.0</v>
      </c>
      <c r="E173" s="6">
        <v>0.34</v>
      </c>
      <c r="F173" s="7">
        <v>14.9</v>
      </c>
      <c r="G173" s="6">
        <v>0.26</v>
      </c>
      <c r="H173" s="8">
        <v>0.0</v>
      </c>
      <c r="I173" s="8">
        <v>0.020941194264000002</v>
      </c>
      <c r="J173" s="9">
        <v>4.0</v>
      </c>
      <c r="K173" s="29" t="str">
        <f t="shared" si="1"/>
        <v>SMB</v>
      </c>
      <c r="L173" s="30">
        <f t="shared" si="2"/>
        <v>3.874</v>
      </c>
      <c r="M173" s="31">
        <f>PERCENTRANK(B$2:B$201,B173)*'Input Resturant Brands Scoring '!$B$3</f>
        <v>4.935</v>
      </c>
      <c r="N173" s="32">
        <f>(1-PERCENTRANK(J$2:J$201,J173))*'Input Resturant Brands Scoring '!$B$5</f>
        <v>17.1</v>
      </c>
      <c r="O173" s="31">
        <f>(1-PERCENTRANK(I$2:I$201,I173))*'Input Resturant Brands Scoring '!$B$6</f>
        <v>4.944</v>
      </c>
      <c r="P173" s="31">
        <f t="shared" si="3"/>
        <v>22.044</v>
      </c>
      <c r="Q173" s="31">
        <f>PERCENTRANK(L$2:L$201,L173)*'Input Resturant Brands Scoring '!$B$7</f>
        <v>2.8</v>
      </c>
      <c r="R173" s="31">
        <f t="shared" si="4"/>
        <v>29.779</v>
      </c>
      <c r="S173" s="12">
        <f t="shared" si="5"/>
        <v>185</v>
      </c>
      <c r="T173" s="12" t="str">
        <f t="shared" si="13"/>
        <v>C</v>
      </c>
      <c r="U173" s="33">
        <f t="shared" si="7"/>
        <v>45511.752</v>
      </c>
      <c r="V173" s="13">
        <f t="shared" si="8"/>
        <v>0.29</v>
      </c>
      <c r="W173" s="34">
        <f t="shared" si="9"/>
        <v>0.03</v>
      </c>
      <c r="X173" s="4">
        <f>IF(T173="S", B173*(1+'Input Fee and Elasticity Inputs'!$B$9), IF(T173="A", B173*(1+'Input Fee and Elasticity Inputs'!$B$10), IF(T173="B", B173*(1+'Input Fee and Elasticity Inputs'!$B$11), B173*(1+'Input Fee and Elasticity Inputs'!$B$12))))</f>
        <v>9985.8</v>
      </c>
      <c r="Y173" s="33">
        <f t="shared" si="10"/>
        <v>4.321</v>
      </c>
      <c r="Z173" s="33">
        <f t="shared" si="11"/>
        <v>43148.6418</v>
      </c>
      <c r="AA173" s="33">
        <f t="shared" si="12"/>
        <v>-2363.1102</v>
      </c>
    </row>
    <row r="174">
      <c r="A174" s="3" t="s">
        <v>182</v>
      </c>
      <c r="B174" s="4">
        <v>11664.0</v>
      </c>
      <c r="C174" s="5">
        <v>11.0</v>
      </c>
      <c r="D174" s="5">
        <v>69.0</v>
      </c>
      <c r="E174" s="6">
        <v>0.67</v>
      </c>
      <c r="F174" s="7">
        <v>25.1</v>
      </c>
      <c r="G174" s="6">
        <v>0.3</v>
      </c>
      <c r="H174" s="8">
        <v>0.044</v>
      </c>
      <c r="I174" s="8">
        <v>0.024423904463999998</v>
      </c>
      <c r="J174" s="9">
        <v>13.0</v>
      </c>
      <c r="K174" s="29" t="str">
        <f t="shared" si="1"/>
        <v>SMB</v>
      </c>
      <c r="L174" s="30">
        <f t="shared" si="2"/>
        <v>7.53</v>
      </c>
      <c r="M174" s="31">
        <f>PERCENTRANK(B$2:B$201,B174)*'Input Resturant Brands Scoring '!$B$3</f>
        <v>4.76</v>
      </c>
      <c r="N174" s="32">
        <f>(1-PERCENTRANK(J$2:J$201,J174))*'Input Resturant Brands Scoring '!$B$5</f>
        <v>7.056</v>
      </c>
      <c r="O174" s="31">
        <f>(1-PERCENTRANK(I$2:I$201,I174))*'Input Resturant Brands Scoring '!$B$6</f>
        <v>2.772</v>
      </c>
      <c r="P174" s="31">
        <f t="shared" si="3"/>
        <v>9.828</v>
      </c>
      <c r="Q174" s="31">
        <f>PERCENTRANK(L$2:L$201,L174)*'Input Resturant Brands Scoring '!$B$7</f>
        <v>31.465</v>
      </c>
      <c r="R174" s="31">
        <f t="shared" si="4"/>
        <v>46.053</v>
      </c>
      <c r="S174" s="12">
        <f t="shared" si="5"/>
        <v>128</v>
      </c>
      <c r="T174" s="12" t="str">
        <f t="shared" si="13"/>
        <v>B</v>
      </c>
      <c r="U174" s="33">
        <f t="shared" si="7"/>
        <v>87829.92</v>
      </c>
      <c r="V174" s="13">
        <f t="shared" si="8"/>
        <v>0.3</v>
      </c>
      <c r="W174" s="34">
        <f t="shared" si="9"/>
        <v>0</v>
      </c>
      <c r="X174" s="4">
        <f>IF(T174="S", B174*(1+'Input Fee and Elasticity Inputs'!$B$9), IF(T174="A", B174*(1+'Input Fee and Elasticity Inputs'!$B$10), IF(T174="B", B174*(1+'Input Fee and Elasticity Inputs'!$B$11), B174*(1+'Input Fee and Elasticity Inputs'!$B$12))))</f>
        <v>11080.8</v>
      </c>
      <c r="Y174" s="33">
        <f t="shared" si="10"/>
        <v>7.53</v>
      </c>
      <c r="Z174" s="33">
        <f t="shared" si="11"/>
        <v>83438.424</v>
      </c>
      <c r="AA174" s="33">
        <f t="shared" si="12"/>
        <v>-4391.496</v>
      </c>
    </row>
    <row r="175">
      <c r="A175" s="3" t="s">
        <v>183</v>
      </c>
      <c r="B175" s="4">
        <v>11460.0</v>
      </c>
      <c r="C175" s="5">
        <v>6.0</v>
      </c>
      <c r="D175" s="5">
        <v>26.0</v>
      </c>
      <c r="E175" s="6">
        <v>1.0</v>
      </c>
      <c r="F175" s="7">
        <v>14.4</v>
      </c>
      <c r="G175" s="6">
        <v>0.24</v>
      </c>
      <c r="H175" s="8">
        <v>0.0408</v>
      </c>
      <c r="I175" s="8">
        <v>0.013983325974</v>
      </c>
      <c r="J175" s="9">
        <v>26.0</v>
      </c>
      <c r="K175" s="29" t="str">
        <f t="shared" si="1"/>
        <v>SMB</v>
      </c>
      <c r="L175" s="30">
        <f t="shared" si="2"/>
        <v>3.456</v>
      </c>
      <c r="M175" s="31">
        <f>PERCENTRANK(B$2:B$201,B175)*'Input Resturant Brands Scoring '!$B$3</f>
        <v>4.585</v>
      </c>
      <c r="N175" s="32">
        <f>(1-PERCENTRANK(J$2:J$201,J175))*'Input Resturant Brands Scoring '!$B$5</f>
        <v>1.998</v>
      </c>
      <c r="O175" s="31">
        <f>(1-PERCENTRANK(I$2:I$201,I175))*'Input Resturant Brands Scoring '!$B$6</f>
        <v>10.008</v>
      </c>
      <c r="P175" s="31">
        <f t="shared" si="3"/>
        <v>12.006</v>
      </c>
      <c r="Q175" s="31">
        <f>PERCENTRANK(L$2:L$201,L175)*'Input Resturant Brands Scoring '!$B$7</f>
        <v>1.225</v>
      </c>
      <c r="R175" s="31">
        <f t="shared" si="4"/>
        <v>17.816</v>
      </c>
      <c r="S175" s="12">
        <f t="shared" si="5"/>
        <v>197</v>
      </c>
      <c r="T175" s="12" t="str">
        <f t="shared" si="13"/>
        <v>C</v>
      </c>
      <c r="U175" s="33">
        <f t="shared" si="7"/>
        <v>39605.76</v>
      </c>
      <c r="V175" s="13">
        <f t="shared" si="8"/>
        <v>0.27</v>
      </c>
      <c r="W175" s="34">
        <f t="shared" si="9"/>
        <v>0.03</v>
      </c>
      <c r="X175" s="4">
        <f>IF(T175="S", B175*(1+'Input Fee and Elasticity Inputs'!$B$9), IF(T175="A", B175*(1+'Input Fee and Elasticity Inputs'!$B$10), IF(T175="B", B175*(1+'Input Fee and Elasticity Inputs'!$B$11), B175*(1+'Input Fee and Elasticity Inputs'!$B$12))))</f>
        <v>9741</v>
      </c>
      <c r="Y175" s="33">
        <f t="shared" si="10"/>
        <v>3.888</v>
      </c>
      <c r="Z175" s="33">
        <f t="shared" si="11"/>
        <v>37873.008</v>
      </c>
      <c r="AA175" s="33">
        <f t="shared" si="12"/>
        <v>-1732.752</v>
      </c>
    </row>
    <row r="176">
      <c r="A176" s="3" t="s">
        <v>184</v>
      </c>
      <c r="B176" s="4">
        <v>11424.0</v>
      </c>
      <c r="C176" s="5">
        <v>10.0</v>
      </c>
      <c r="D176" s="5">
        <v>11.0</v>
      </c>
      <c r="E176" s="6">
        <v>0.58</v>
      </c>
      <c r="F176" s="7">
        <v>18.9</v>
      </c>
      <c r="G176" s="6">
        <v>0.28</v>
      </c>
      <c r="H176" s="8">
        <v>0.0812</v>
      </c>
      <c r="I176" s="8">
        <v>0.019640651904</v>
      </c>
      <c r="J176" s="9">
        <v>9.0</v>
      </c>
      <c r="K176" s="29" t="str">
        <f t="shared" si="1"/>
        <v>SMB</v>
      </c>
      <c r="L176" s="30">
        <f t="shared" si="2"/>
        <v>5.292</v>
      </c>
      <c r="M176" s="31">
        <f>PERCENTRANK(B$2:B$201,B176)*'Input Resturant Brands Scoring '!$B$3</f>
        <v>4.41</v>
      </c>
      <c r="N176" s="32">
        <f>(1-PERCENTRANK(J$2:J$201,J176))*'Input Resturant Brands Scoring '!$B$5</f>
        <v>10.044</v>
      </c>
      <c r="O176" s="31">
        <f>(1-PERCENTRANK(I$2:I$201,I176))*'Input Resturant Brands Scoring '!$B$6</f>
        <v>5.484</v>
      </c>
      <c r="P176" s="31">
        <f t="shared" si="3"/>
        <v>15.528</v>
      </c>
      <c r="Q176" s="31">
        <f>PERCENTRANK(L$2:L$201,L176)*'Input Resturant Brands Scoring '!$B$7</f>
        <v>16.17</v>
      </c>
      <c r="R176" s="31">
        <f t="shared" si="4"/>
        <v>36.108</v>
      </c>
      <c r="S176" s="12">
        <f t="shared" si="5"/>
        <v>160</v>
      </c>
      <c r="T176" s="12" t="str">
        <f t="shared" si="13"/>
        <v>C</v>
      </c>
      <c r="U176" s="33">
        <f t="shared" si="7"/>
        <v>60455.808</v>
      </c>
      <c r="V176" s="13">
        <f t="shared" si="8"/>
        <v>0.3</v>
      </c>
      <c r="W176" s="34">
        <f t="shared" si="9"/>
        <v>0.02</v>
      </c>
      <c r="X176" s="4">
        <f>IF(T176="S", B176*(1+'Input Fee and Elasticity Inputs'!$B$9), IF(T176="A", B176*(1+'Input Fee and Elasticity Inputs'!$B$10), IF(T176="B", B176*(1+'Input Fee and Elasticity Inputs'!$B$11), B176*(1+'Input Fee and Elasticity Inputs'!$B$12))))</f>
        <v>9710.4</v>
      </c>
      <c r="Y176" s="33">
        <f t="shared" si="10"/>
        <v>5.67</v>
      </c>
      <c r="Z176" s="33">
        <f t="shared" si="11"/>
        <v>55057.968</v>
      </c>
      <c r="AA176" s="33">
        <f t="shared" si="12"/>
        <v>-5397.84</v>
      </c>
    </row>
    <row r="177">
      <c r="A177" s="3" t="s">
        <v>185</v>
      </c>
      <c r="B177" s="4">
        <v>11400.0</v>
      </c>
      <c r="C177" s="5">
        <v>6.0</v>
      </c>
      <c r="D177" s="5">
        <v>17.0</v>
      </c>
      <c r="E177" s="6">
        <v>0.98</v>
      </c>
      <c r="F177" s="7">
        <v>14.4</v>
      </c>
      <c r="G177" s="6">
        <v>0.3</v>
      </c>
      <c r="H177" s="8">
        <v>0.0276</v>
      </c>
      <c r="I177" s="8">
        <v>0.014944378368</v>
      </c>
      <c r="J177" s="9">
        <v>8.0</v>
      </c>
      <c r="K177" s="29" t="str">
        <f t="shared" si="1"/>
        <v>SMB</v>
      </c>
      <c r="L177" s="30">
        <f t="shared" si="2"/>
        <v>4.32</v>
      </c>
      <c r="M177" s="31">
        <f>PERCENTRANK(B$2:B$201,B177)*'Input Resturant Brands Scoring '!$B$3</f>
        <v>4.235</v>
      </c>
      <c r="N177" s="32">
        <f>(1-PERCENTRANK(J$2:J$201,J177))*'Input Resturant Brands Scoring '!$B$5</f>
        <v>11.574</v>
      </c>
      <c r="O177" s="31">
        <f>(1-PERCENTRANK(I$2:I$201,I177))*'Input Resturant Brands Scoring '!$B$6</f>
        <v>8.628</v>
      </c>
      <c r="P177" s="31">
        <f t="shared" si="3"/>
        <v>20.202</v>
      </c>
      <c r="Q177" s="31">
        <f>PERCENTRANK(L$2:L$201,L177)*'Input Resturant Brands Scoring '!$B$7</f>
        <v>5.985</v>
      </c>
      <c r="R177" s="31">
        <f t="shared" si="4"/>
        <v>30.422</v>
      </c>
      <c r="S177" s="12">
        <f t="shared" si="5"/>
        <v>184</v>
      </c>
      <c r="T177" s="12" t="str">
        <f t="shared" si="13"/>
        <v>C</v>
      </c>
      <c r="U177" s="33">
        <f t="shared" si="7"/>
        <v>49248</v>
      </c>
      <c r="V177" s="13">
        <f t="shared" si="8"/>
        <v>0.3</v>
      </c>
      <c r="W177" s="34">
        <f t="shared" si="9"/>
        <v>0</v>
      </c>
      <c r="X177" s="4">
        <f>IF(T177="S", B177*(1+'Input Fee and Elasticity Inputs'!$B$9), IF(T177="A", B177*(1+'Input Fee and Elasticity Inputs'!$B$10), IF(T177="B", B177*(1+'Input Fee and Elasticity Inputs'!$B$11), B177*(1+'Input Fee and Elasticity Inputs'!$B$12))))</f>
        <v>9690</v>
      </c>
      <c r="Y177" s="33">
        <f t="shared" si="10"/>
        <v>4.32</v>
      </c>
      <c r="Z177" s="33">
        <f t="shared" si="11"/>
        <v>41860.8</v>
      </c>
      <c r="AA177" s="33">
        <f t="shared" si="12"/>
        <v>-7387.2</v>
      </c>
    </row>
    <row r="178">
      <c r="A178" s="3" t="s">
        <v>186</v>
      </c>
      <c r="B178" s="4">
        <v>10248.0</v>
      </c>
      <c r="C178" s="5">
        <v>6.0</v>
      </c>
      <c r="D178" s="5">
        <v>13.0</v>
      </c>
      <c r="E178" s="6">
        <v>0.92</v>
      </c>
      <c r="F178" s="7">
        <v>20.8</v>
      </c>
      <c r="G178" s="6">
        <v>0.26</v>
      </c>
      <c r="H178" s="8">
        <v>0.0676</v>
      </c>
      <c r="I178" s="8">
        <v>0.010528988868</v>
      </c>
      <c r="J178" s="9">
        <v>23.0</v>
      </c>
      <c r="K178" s="29" t="str">
        <f t="shared" si="1"/>
        <v>SMB</v>
      </c>
      <c r="L178" s="30">
        <f t="shared" si="2"/>
        <v>5.408</v>
      </c>
      <c r="M178" s="31">
        <f>PERCENTRANK(B$2:B$201,B178)*'Input Resturant Brands Scoring '!$B$3</f>
        <v>4.06</v>
      </c>
      <c r="N178" s="32">
        <f>(1-PERCENTRANK(J$2:J$201,J178))*'Input Resturant Brands Scoring '!$B$5</f>
        <v>2.538</v>
      </c>
      <c r="O178" s="31">
        <f>(1-PERCENTRANK(I$2:I$201,I178))*'Input Resturant Brands Scoring '!$B$6</f>
        <v>11.64</v>
      </c>
      <c r="P178" s="31">
        <f t="shared" si="3"/>
        <v>14.178</v>
      </c>
      <c r="Q178" s="31">
        <f>PERCENTRANK(L$2:L$201,L178)*'Input Resturant Brands Scoring '!$B$7</f>
        <v>17.605</v>
      </c>
      <c r="R178" s="31">
        <f t="shared" si="4"/>
        <v>35.843</v>
      </c>
      <c r="S178" s="12">
        <f t="shared" si="5"/>
        <v>163</v>
      </c>
      <c r="T178" s="12" t="str">
        <f t="shared" si="13"/>
        <v>C</v>
      </c>
      <c r="U178" s="33">
        <f t="shared" si="7"/>
        <v>55421.184</v>
      </c>
      <c r="V178" s="13">
        <f t="shared" si="8"/>
        <v>0.29</v>
      </c>
      <c r="W178" s="34">
        <f t="shared" si="9"/>
        <v>0.03</v>
      </c>
      <c r="X178" s="4">
        <f>IF(T178="S", B178*(1+'Input Fee and Elasticity Inputs'!$B$9), IF(T178="A", B178*(1+'Input Fee and Elasticity Inputs'!$B$10), IF(T178="B", B178*(1+'Input Fee and Elasticity Inputs'!$B$11), B178*(1+'Input Fee and Elasticity Inputs'!$B$12))))</f>
        <v>8710.8</v>
      </c>
      <c r="Y178" s="33">
        <f t="shared" si="10"/>
        <v>6.032</v>
      </c>
      <c r="Z178" s="33">
        <f t="shared" si="11"/>
        <v>52543.5456</v>
      </c>
      <c r="AA178" s="33">
        <f t="shared" si="12"/>
        <v>-2877.6384</v>
      </c>
    </row>
    <row r="179">
      <c r="A179" s="3" t="s">
        <v>187</v>
      </c>
      <c r="B179" s="4">
        <v>10140.0</v>
      </c>
      <c r="C179" s="5">
        <v>6.0</v>
      </c>
      <c r="D179" s="5">
        <v>10.0</v>
      </c>
      <c r="E179" s="6">
        <v>0.73</v>
      </c>
      <c r="F179" s="7">
        <v>20.2</v>
      </c>
      <c r="G179" s="6">
        <v>0.3</v>
      </c>
      <c r="H179" s="8">
        <v>0.0476</v>
      </c>
      <c r="I179" s="8">
        <v>0.023329417332</v>
      </c>
      <c r="J179" s="9">
        <v>17.0</v>
      </c>
      <c r="K179" s="29" t="str">
        <f t="shared" si="1"/>
        <v>SMB</v>
      </c>
      <c r="L179" s="30">
        <f t="shared" si="2"/>
        <v>6.06</v>
      </c>
      <c r="M179" s="31">
        <f>PERCENTRANK(B$2:B$201,B179)*'Input Resturant Brands Scoring '!$B$3</f>
        <v>3.885</v>
      </c>
      <c r="N179" s="32">
        <f>(1-PERCENTRANK(J$2:J$201,J179))*'Input Resturant Brands Scoring '!$B$5</f>
        <v>4.608</v>
      </c>
      <c r="O179" s="31">
        <f>(1-PERCENTRANK(I$2:I$201,I179))*'Input Resturant Brands Scoring '!$B$6</f>
        <v>3.552</v>
      </c>
      <c r="P179" s="31">
        <f t="shared" si="3"/>
        <v>8.16</v>
      </c>
      <c r="Q179" s="31">
        <f>PERCENTRANK(L$2:L$201,L179)*'Input Resturant Brands Scoring '!$B$7</f>
        <v>23.38</v>
      </c>
      <c r="R179" s="31">
        <f t="shared" si="4"/>
        <v>35.425</v>
      </c>
      <c r="S179" s="12">
        <f t="shared" si="5"/>
        <v>167</v>
      </c>
      <c r="T179" s="12" t="str">
        <f t="shared" si="13"/>
        <v>C</v>
      </c>
      <c r="U179" s="33">
        <f t="shared" si="7"/>
        <v>61448.4</v>
      </c>
      <c r="V179" s="13">
        <f t="shared" si="8"/>
        <v>0.3</v>
      </c>
      <c r="W179" s="34">
        <f t="shared" si="9"/>
        <v>0</v>
      </c>
      <c r="X179" s="4">
        <f>IF(T179="S", B179*(1+'Input Fee and Elasticity Inputs'!$B$9), IF(T179="A", B179*(1+'Input Fee and Elasticity Inputs'!$B$10), IF(T179="B", B179*(1+'Input Fee and Elasticity Inputs'!$B$11), B179*(1+'Input Fee and Elasticity Inputs'!$B$12))))</f>
        <v>8619</v>
      </c>
      <c r="Y179" s="33">
        <f t="shared" si="10"/>
        <v>6.06</v>
      </c>
      <c r="Z179" s="33">
        <f t="shared" si="11"/>
        <v>52231.14</v>
      </c>
      <c r="AA179" s="33">
        <f t="shared" si="12"/>
        <v>-9217.26</v>
      </c>
    </row>
    <row r="180">
      <c r="A180" s="3" t="s">
        <v>188</v>
      </c>
      <c r="B180" s="4">
        <v>10008.0</v>
      </c>
      <c r="C180" s="5">
        <v>6.0</v>
      </c>
      <c r="D180" s="5">
        <v>50.0</v>
      </c>
      <c r="E180" s="6">
        <v>0.05</v>
      </c>
      <c r="F180" s="7">
        <v>18.3</v>
      </c>
      <c r="G180" s="6">
        <v>0.3</v>
      </c>
      <c r="H180" s="8">
        <v>0.0532</v>
      </c>
      <c r="I180" s="8">
        <v>0.015528866412</v>
      </c>
      <c r="J180" s="9">
        <v>5.0</v>
      </c>
      <c r="K180" s="29" t="str">
        <f t="shared" si="1"/>
        <v>SMB</v>
      </c>
      <c r="L180" s="30">
        <f t="shared" si="2"/>
        <v>5.49</v>
      </c>
      <c r="M180" s="31">
        <f>PERCENTRANK(B$2:B$201,B180)*'Input Resturant Brands Scoring '!$B$3</f>
        <v>3.71</v>
      </c>
      <c r="N180" s="32">
        <f>(1-PERCENTRANK(J$2:J$201,J180))*'Input Resturant Brands Scoring '!$B$5</f>
        <v>15.462</v>
      </c>
      <c r="O180" s="31">
        <f>(1-PERCENTRANK(I$2:I$201,I180))*'Input Resturant Brands Scoring '!$B$6</f>
        <v>8.316</v>
      </c>
      <c r="P180" s="31">
        <f t="shared" si="3"/>
        <v>23.778</v>
      </c>
      <c r="Q180" s="31">
        <f>PERCENTRANK(L$2:L$201,L180)*'Input Resturant Brands Scoring '!$B$7</f>
        <v>18.83</v>
      </c>
      <c r="R180" s="31">
        <f t="shared" si="4"/>
        <v>46.318</v>
      </c>
      <c r="S180" s="12">
        <f t="shared" si="5"/>
        <v>124</v>
      </c>
      <c r="T180" s="12" t="str">
        <f t="shared" si="13"/>
        <v>B</v>
      </c>
      <c r="U180" s="33">
        <f t="shared" si="7"/>
        <v>54943.92</v>
      </c>
      <c r="V180" s="13">
        <f t="shared" si="8"/>
        <v>0.3</v>
      </c>
      <c r="W180" s="34">
        <f t="shared" si="9"/>
        <v>0</v>
      </c>
      <c r="X180" s="4">
        <f>IF(T180="S", B180*(1+'Input Fee and Elasticity Inputs'!$B$9), IF(T180="A", B180*(1+'Input Fee and Elasticity Inputs'!$B$10), IF(T180="B", B180*(1+'Input Fee and Elasticity Inputs'!$B$11), B180*(1+'Input Fee and Elasticity Inputs'!$B$12))))</f>
        <v>9507.6</v>
      </c>
      <c r="Y180" s="33">
        <f t="shared" si="10"/>
        <v>5.49</v>
      </c>
      <c r="Z180" s="33">
        <f t="shared" si="11"/>
        <v>52196.724</v>
      </c>
      <c r="AA180" s="33">
        <f t="shared" si="12"/>
        <v>-2747.196</v>
      </c>
    </row>
    <row r="181">
      <c r="A181" s="3" t="s">
        <v>189</v>
      </c>
      <c r="B181" s="4">
        <v>9408.0</v>
      </c>
      <c r="C181" s="5">
        <v>6.0</v>
      </c>
      <c r="D181" s="5">
        <v>7.0</v>
      </c>
      <c r="E181" s="6">
        <v>0.29</v>
      </c>
      <c r="F181" s="7">
        <v>18.9</v>
      </c>
      <c r="G181" s="6">
        <v>0.3</v>
      </c>
      <c r="H181" s="8">
        <v>0.044</v>
      </c>
      <c r="I181" s="8">
        <v>0.014894273946</v>
      </c>
      <c r="J181" s="9">
        <v>22.0</v>
      </c>
      <c r="K181" s="29" t="str">
        <f t="shared" si="1"/>
        <v>SMB</v>
      </c>
      <c r="L181" s="30">
        <f t="shared" si="2"/>
        <v>5.67</v>
      </c>
      <c r="M181" s="31">
        <f>PERCENTRANK(B$2:B$201,B181)*'Input Resturant Brands Scoring '!$B$3</f>
        <v>3.535</v>
      </c>
      <c r="N181" s="32">
        <f>(1-PERCENTRANK(J$2:J$201,J181))*'Input Resturant Brands Scoring '!$B$5</f>
        <v>3.078</v>
      </c>
      <c r="O181" s="31">
        <f>(1-PERCENTRANK(I$2:I$201,I181))*'Input Resturant Brands Scoring '!$B$6</f>
        <v>8.688</v>
      </c>
      <c r="P181" s="31">
        <f t="shared" si="3"/>
        <v>11.766</v>
      </c>
      <c r="Q181" s="31">
        <f>PERCENTRANK(L$2:L$201,L181)*'Input Resturant Brands Scoring '!$B$7</f>
        <v>20.755</v>
      </c>
      <c r="R181" s="31">
        <f t="shared" si="4"/>
        <v>36.056</v>
      </c>
      <c r="S181" s="12">
        <f t="shared" si="5"/>
        <v>161</v>
      </c>
      <c r="T181" s="12" t="str">
        <f t="shared" si="13"/>
        <v>C</v>
      </c>
      <c r="U181" s="33">
        <f t="shared" si="7"/>
        <v>53343.36</v>
      </c>
      <c r="V181" s="13">
        <f t="shared" si="8"/>
        <v>0.3</v>
      </c>
      <c r="W181" s="34">
        <f t="shared" si="9"/>
        <v>0</v>
      </c>
      <c r="X181" s="4">
        <f>IF(T181="S", B181*(1+'Input Fee and Elasticity Inputs'!$B$9), IF(T181="A", B181*(1+'Input Fee and Elasticity Inputs'!$B$10), IF(T181="B", B181*(1+'Input Fee and Elasticity Inputs'!$B$11), B181*(1+'Input Fee and Elasticity Inputs'!$B$12))))</f>
        <v>7996.8</v>
      </c>
      <c r="Y181" s="33">
        <f t="shared" si="10"/>
        <v>5.67</v>
      </c>
      <c r="Z181" s="33">
        <f t="shared" si="11"/>
        <v>45341.856</v>
      </c>
      <c r="AA181" s="33">
        <f t="shared" si="12"/>
        <v>-8001.504</v>
      </c>
    </row>
    <row r="182">
      <c r="A182" s="3" t="s">
        <v>190</v>
      </c>
      <c r="B182" s="4">
        <v>8880.0</v>
      </c>
      <c r="C182" s="5">
        <v>7.0</v>
      </c>
      <c r="D182" s="5">
        <v>11.0</v>
      </c>
      <c r="E182" s="6">
        <v>0.72</v>
      </c>
      <c r="F182" s="7">
        <v>15.7</v>
      </c>
      <c r="G182" s="6">
        <v>0.3</v>
      </c>
      <c r="H182" s="8">
        <v>0.0732</v>
      </c>
      <c r="I182" s="8">
        <v>0.013536627426</v>
      </c>
      <c r="J182" s="9">
        <v>4.0</v>
      </c>
      <c r="K182" s="29" t="str">
        <f t="shared" si="1"/>
        <v>SMB</v>
      </c>
      <c r="L182" s="30">
        <f t="shared" si="2"/>
        <v>4.71</v>
      </c>
      <c r="M182" s="31">
        <f>PERCENTRANK(B$2:B$201,B182)*'Input Resturant Brands Scoring '!$B$3</f>
        <v>3.325</v>
      </c>
      <c r="N182" s="32">
        <f>(1-PERCENTRANK(J$2:J$201,J182))*'Input Resturant Brands Scoring '!$B$5</f>
        <v>17.1</v>
      </c>
      <c r="O182" s="31">
        <f>(1-PERCENTRANK(I$2:I$201,I182))*'Input Resturant Brands Scoring '!$B$6</f>
        <v>10.548</v>
      </c>
      <c r="P182" s="31">
        <f t="shared" si="3"/>
        <v>27.648</v>
      </c>
      <c r="Q182" s="31">
        <f>PERCENTRANK(L$2:L$201,L182)*'Input Resturant Brands Scoring '!$B$7</f>
        <v>10.01</v>
      </c>
      <c r="R182" s="31">
        <f t="shared" si="4"/>
        <v>40.983</v>
      </c>
      <c r="S182" s="12">
        <f t="shared" si="5"/>
        <v>146</v>
      </c>
      <c r="T182" s="12" t="str">
        <f t="shared" si="13"/>
        <v>B</v>
      </c>
      <c r="U182" s="33">
        <f t="shared" si="7"/>
        <v>41824.8</v>
      </c>
      <c r="V182" s="13">
        <f t="shared" si="8"/>
        <v>0.3</v>
      </c>
      <c r="W182" s="34">
        <f t="shared" si="9"/>
        <v>0</v>
      </c>
      <c r="X182" s="4">
        <f>IF(T182="S", B182*(1+'Input Fee and Elasticity Inputs'!$B$9), IF(T182="A", B182*(1+'Input Fee and Elasticity Inputs'!$B$10), IF(T182="B", B182*(1+'Input Fee and Elasticity Inputs'!$B$11), B182*(1+'Input Fee and Elasticity Inputs'!$B$12))))</f>
        <v>8436</v>
      </c>
      <c r="Y182" s="33">
        <f t="shared" si="10"/>
        <v>4.71</v>
      </c>
      <c r="Z182" s="33">
        <f t="shared" si="11"/>
        <v>39733.56</v>
      </c>
      <c r="AA182" s="33">
        <f t="shared" si="12"/>
        <v>-2091.24</v>
      </c>
    </row>
    <row r="183">
      <c r="A183" s="3" t="s">
        <v>191</v>
      </c>
      <c r="B183" s="4">
        <v>8256.0</v>
      </c>
      <c r="C183" s="5">
        <v>6.0</v>
      </c>
      <c r="D183" s="5">
        <v>8.0</v>
      </c>
      <c r="E183" s="6">
        <v>0.31</v>
      </c>
      <c r="F183" s="7">
        <v>17.5</v>
      </c>
      <c r="G183" s="6">
        <v>0.3</v>
      </c>
      <c r="H183" s="8">
        <v>0.0708</v>
      </c>
      <c r="I183" s="8">
        <v>0.016472173944</v>
      </c>
      <c r="J183" s="9">
        <v>11.0</v>
      </c>
      <c r="K183" s="29" t="str">
        <f t="shared" si="1"/>
        <v>SMB</v>
      </c>
      <c r="L183" s="30">
        <f t="shared" si="2"/>
        <v>5.25</v>
      </c>
      <c r="M183" s="31">
        <f>PERCENTRANK(B$2:B$201,B183)*'Input Resturant Brands Scoring '!$B$3</f>
        <v>3.15</v>
      </c>
      <c r="N183" s="32">
        <f>(1-PERCENTRANK(J$2:J$201,J183))*'Input Resturant Brands Scoring '!$B$5</f>
        <v>8.136</v>
      </c>
      <c r="O183" s="31">
        <f>(1-PERCENTRANK(I$2:I$201,I183))*'Input Resturant Brands Scoring '!$B$6</f>
        <v>7.416</v>
      </c>
      <c r="P183" s="31">
        <f t="shared" si="3"/>
        <v>15.552</v>
      </c>
      <c r="Q183" s="31">
        <f>PERCENTRANK(L$2:L$201,L183)*'Input Resturant Brands Scoring '!$B$7</f>
        <v>15.82</v>
      </c>
      <c r="R183" s="31">
        <f t="shared" si="4"/>
        <v>34.522</v>
      </c>
      <c r="S183" s="12">
        <f t="shared" si="5"/>
        <v>169</v>
      </c>
      <c r="T183" s="12" t="str">
        <f t="shared" si="13"/>
        <v>C</v>
      </c>
      <c r="U183" s="33">
        <f t="shared" si="7"/>
        <v>43344</v>
      </c>
      <c r="V183" s="13">
        <f t="shared" si="8"/>
        <v>0.3</v>
      </c>
      <c r="W183" s="34">
        <f t="shared" si="9"/>
        <v>0</v>
      </c>
      <c r="X183" s="4">
        <f>IF(T183="S", B183*(1+'Input Fee and Elasticity Inputs'!$B$9), IF(T183="A", B183*(1+'Input Fee and Elasticity Inputs'!$B$10), IF(T183="B", B183*(1+'Input Fee and Elasticity Inputs'!$B$11), B183*(1+'Input Fee and Elasticity Inputs'!$B$12))))</f>
        <v>7017.6</v>
      </c>
      <c r="Y183" s="33">
        <f t="shared" si="10"/>
        <v>5.25</v>
      </c>
      <c r="Z183" s="33">
        <f t="shared" si="11"/>
        <v>36842.4</v>
      </c>
      <c r="AA183" s="33">
        <f t="shared" si="12"/>
        <v>-6501.6</v>
      </c>
    </row>
    <row r="184">
      <c r="A184" s="3" t="s">
        <v>192</v>
      </c>
      <c r="B184" s="4">
        <v>8148.0</v>
      </c>
      <c r="C184" s="5">
        <v>6.0</v>
      </c>
      <c r="D184" s="5">
        <v>8.0</v>
      </c>
      <c r="E184" s="6">
        <v>0.33</v>
      </c>
      <c r="F184" s="7">
        <v>17.2</v>
      </c>
      <c r="G184" s="6">
        <v>0.3</v>
      </c>
      <c r="H184" s="8">
        <v>0.0432</v>
      </c>
      <c r="I184" s="8">
        <v>0.017461652735999998</v>
      </c>
      <c r="J184" s="9">
        <v>30.0</v>
      </c>
      <c r="K184" s="29" t="str">
        <f t="shared" si="1"/>
        <v>SMB</v>
      </c>
      <c r="L184" s="30">
        <f t="shared" si="2"/>
        <v>5.16</v>
      </c>
      <c r="M184" s="31">
        <f>PERCENTRANK(B$2:B$201,B184)*'Input Resturant Brands Scoring '!$B$3</f>
        <v>2.975</v>
      </c>
      <c r="N184" s="32">
        <f>(1-PERCENTRANK(J$2:J$201,J184))*'Input Resturant Brands Scoring '!$B$5</f>
        <v>1.35</v>
      </c>
      <c r="O184" s="31">
        <f>(1-PERCENTRANK(I$2:I$201,I184))*'Input Resturant Brands Scoring '!$B$6</f>
        <v>6.756</v>
      </c>
      <c r="P184" s="31">
        <f t="shared" si="3"/>
        <v>8.106</v>
      </c>
      <c r="Q184" s="31">
        <f>PERCENTRANK(L$2:L$201,L184)*'Input Resturant Brands Scoring '!$B$7</f>
        <v>15.12</v>
      </c>
      <c r="R184" s="31">
        <f t="shared" si="4"/>
        <v>26.201</v>
      </c>
      <c r="S184" s="12">
        <f t="shared" si="5"/>
        <v>191</v>
      </c>
      <c r="T184" s="12" t="str">
        <f t="shared" si="13"/>
        <v>C</v>
      </c>
      <c r="U184" s="33">
        <f t="shared" si="7"/>
        <v>42043.68</v>
      </c>
      <c r="V184" s="13">
        <f t="shared" si="8"/>
        <v>0.3</v>
      </c>
      <c r="W184" s="34">
        <f t="shared" si="9"/>
        <v>0</v>
      </c>
      <c r="X184" s="4">
        <f>IF(T184="S", B184*(1+'Input Fee and Elasticity Inputs'!$B$9), IF(T184="A", B184*(1+'Input Fee and Elasticity Inputs'!$B$10), IF(T184="B", B184*(1+'Input Fee and Elasticity Inputs'!$B$11), B184*(1+'Input Fee and Elasticity Inputs'!$B$12))))</f>
        <v>6925.8</v>
      </c>
      <c r="Y184" s="33">
        <f t="shared" si="10"/>
        <v>5.16</v>
      </c>
      <c r="Z184" s="33">
        <f t="shared" si="11"/>
        <v>35737.128</v>
      </c>
      <c r="AA184" s="33">
        <f t="shared" si="12"/>
        <v>-6306.552</v>
      </c>
    </row>
    <row r="185">
      <c r="A185" s="3" t="s">
        <v>193</v>
      </c>
      <c r="B185" s="4">
        <v>8064.0</v>
      </c>
      <c r="C185" s="5">
        <v>6.0</v>
      </c>
      <c r="D185" s="5">
        <v>33.0</v>
      </c>
      <c r="E185" s="6">
        <v>0.84</v>
      </c>
      <c r="F185" s="7">
        <v>11.7</v>
      </c>
      <c r="G185" s="6">
        <v>0.24</v>
      </c>
      <c r="H185" s="8">
        <v>0.0164</v>
      </c>
      <c r="I185" s="8">
        <v>0.014342800824</v>
      </c>
      <c r="J185" s="9">
        <v>8.0</v>
      </c>
      <c r="K185" s="29" t="str">
        <f t="shared" si="1"/>
        <v>SMB</v>
      </c>
      <c r="L185" s="30">
        <f t="shared" si="2"/>
        <v>2.808</v>
      </c>
      <c r="M185" s="31">
        <f>PERCENTRANK(B$2:B$201,B185)*'Input Resturant Brands Scoring '!$B$3</f>
        <v>2.8</v>
      </c>
      <c r="N185" s="32">
        <f>(1-PERCENTRANK(J$2:J$201,J185))*'Input Resturant Brands Scoring '!$B$5</f>
        <v>11.574</v>
      </c>
      <c r="O185" s="31">
        <f>(1-PERCENTRANK(I$2:I$201,I185))*'Input Resturant Brands Scoring '!$B$6</f>
        <v>9.228</v>
      </c>
      <c r="P185" s="31">
        <f t="shared" si="3"/>
        <v>20.802</v>
      </c>
      <c r="Q185" s="31">
        <f>PERCENTRANK(L$2:L$201,L185)*'Input Resturant Brands Scoring '!$B$7</f>
        <v>0.175</v>
      </c>
      <c r="R185" s="31">
        <f t="shared" si="4"/>
        <v>23.777</v>
      </c>
      <c r="S185" s="12">
        <f t="shared" si="5"/>
        <v>194</v>
      </c>
      <c r="T185" s="12" t="str">
        <f t="shared" si="13"/>
        <v>C</v>
      </c>
      <c r="U185" s="33">
        <f t="shared" si="7"/>
        <v>22643.712</v>
      </c>
      <c r="V185" s="13">
        <f t="shared" si="8"/>
        <v>0.27</v>
      </c>
      <c r="W185" s="34">
        <f t="shared" si="9"/>
        <v>0.03</v>
      </c>
      <c r="X185" s="4">
        <f>IF(T185="S", B185*(1+'Input Fee and Elasticity Inputs'!$B$9), IF(T185="A", B185*(1+'Input Fee and Elasticity Inputs'!$B$10), IF(T185="B", B185*(1+'Input Fee and Elasticity Inputs'!$B$11), B185*(1+'Input Fee and Elasticity Inputs'!$B$12))))</f>
        <v>6854.4</v>
      </c>
      <c r="Y185" s="33">
        <f t="shared" si="10"/>
        <v>3.159</v>
      </c>
      <c r="Z185" s="33">
        <f t="shared" si="11"/>
        <v>21653.0496</v>
      </c>
      <c r="AA185" s="33">
        <f t="shared" si="12"/>
        <v>-990.6624</v>
      </c>
    </row>
    <row r="186">
      <c r="A186" s="3" t="s">
        <v>194</v>
      </c>
      <c r="B186" s="4">
        <v>7980.0</v>
      </c>
      <c r="C186" s="5">
        <v>6.0</v>
      </c>
      <c r="D186" s="5">
        <v>33.0</v>
      </c>
      <c r="E186" s="6">
        <v>0.99</v>
      </c>
      <c r="F186" s="7">
        <v>20.8</v>
      </c>
      <c r="G186" s="6">
        <v>0.27</v>
      </c>
      <c r="H186" s="8">
        <v>0.0312</v>
      </c>
      <c r="I186" s="8">
        <v>0.013036999577999999</v>
      </c>
      <c r="J186" s="9">
        <v>4.0</v>
      </c>
      <c r="K186" s="29" t="str">
        <f t="shared" si="1"/>
        <v>SMB</v>
      </c>
      <c r="L186" s="30">
        <f t="shared" si="2"/>
        <v>5.616</v>
      </c>
      <c r="M186" s="31">
        <f>PERCENTRANK(B$2:B$201,B186)*'Input Resturant Brands Scoring '!$B$3</f>
        <v>2.625</v>
      </c>
      <c r="N186" s="32">
        <f>(1-PERCENTRANK(J$2:J$201,J186))*'Input Resturant Brands Scoring '!$B$5</f>
        <v>17.1</v>
      </c>
      <c r="O186" s="31">
        <f>(1-PERCENTRANK(I$2:I$201,I186))*'Input Resturant Brands Scoring '!$B$6</f>
        <v>10.788</v>
      </c>
      <c r="P186" s="31">
        <f t="shared" si="3"/>
        <v>27.888</v>
      </c>
      <c r="Q186" s="31">
        <f>PERCENTRANK(L$2:L$201,L186)*'Input Resturant Brands Scoring '!$B$7</f>
        <v>20.405</v>
      </c>
      <c r="R186" s="31">
        <f t="shared" si="4"/>
        <v>50.918</v>
      </c>
      <c r="S186" s="12">
        <f t="shared" si="5"/>
        <v>100</v>
      </c>
      <c r="T186" s="12" t="str">
        <f t="shared" si="13"/>
        <v>B</v>
      </c>
      <c r="U186" s="33">
        <f t="shared" si="7"/>
        <v>44815.68</v>
      </c>
      <c r="V186" s="13">
        <f t="shared" si="8"/>
        <v>0.29</v>
      </c>
      <c r="W186" s="34">
        <f t="shared" si="9"/>
        <v>0.02</v>
      </c>
      <c r="X186" s="4">
        <f>IF(T186="S", B186*(1+'Input Fee and Elasticity Inputs'!$B$9), IF(T186="A", B186*(1+'Input Fee and Elasticity Inputs'!$B$10), IF(T186="B", B186*(1+'Input Fee and Elasticity Inputs'!$B$11), B186*(1+'Input Fee and Elasticity Inputs'!$B$12))))</f>
        <v>7581</v>
      </c>
      <c r="Y186" s="33">
        <f t="shared" si="10"/>
        <v>6.032</v>
      </c>
      <c r="Z186" s="33">
        <f t="shared" si="11"/>
        <v>45728.592</v>
      </c>
      <c r="AA186" s="33">
        <f t="shared" si="12"/>
        <v>912.912</v>
      </c>
    </row>
    <row r="187">
      <c r="A187" s="3" t="s">
        <v>195</v>
      </c>
      <c r="B187" s="4">
        <v>7584.0</v>
      </c>
      <c r="C187" s="5">
        <v>6.0</v>
      </c>
      <c r="D187" s="5">
        <v>9.0</v>
      </c>
      <c r="E187" s="6">
        <v>0.12</v>
      </c>
      <c r="F187" s="7">
        <v>25.0</v>
      </c>
      <c r="G187" s="6">
        <v>0.3</v>
      </c>
      <c r="H187" s="8">
        <v>0.0992</v>
      </c>
      <c r="I187" s="8">
        <v>0.014296707378</v>
      </c>
      <c r="J187" s="9">
        <v>17.0</v>
      </c>
      <c r="K187" s="29" t="str">
        <f t="shared" si="1"/>
        <v>SMB</v>
      </c>
      <c r="L187" s="30">
        <f t="shared" si="2"/>
        <v>7.5</v>
      </c>
      <c r="M187" s="31">
        <f>PERCENTRANK(B$2:B$201,B187)*'Input Resturant Brands Scoring '!$B$3</f>
        <v>2.45</v>
      </c>
      <c r="N187" s="32">
        <f>(1-PERCENTRANK(J$2:J$201,J187))*'Input Resturant Brands Scoring '!$B$5</f>
        <v>4.608</v>
      </c>
      <c r="O187" s="31">
        <f>(1-PERCENTRANK(I$2:I$201,I187))*'Input Resturant Brands Scoring '!$B$6</f>
        <v>9.408</v>
      </c>
      <c r="P187" s="31">
        <f t="shared" si="3"/>
        <v>14.016</v>
      </c>
      <c r="Q187" s="31">
        <f>PERCENTRANK(L$2:L$201,L187)*'Input Resturant Brands Scoring '!$B$7</f>
        <v>30.94</v>
      </c>
      <c r="R187" s="31">
        <f t="shared" si="4"/>
        <v>47.406</v>
      </c>
      <c r="S187" s="12">
        <f t="shared" si="5"/>
        <v>119</v>
      </c>
      <c r="T187" s="12" t="str">
        <f t="shared" si="13"/>
        <v>B</v>
      </c>
      <c r="U187" s="33">
        <f t="shared" si="7"/>
        <v>56880</v>
      </c>
      <c r="V187" s="13">
        <f t="shared" si="8"/>
        <v>0.3</v>
      </c>
      <c r="W187" s="34">
        <f t="shared" si="9"/>
        <v>0</v>
      </c>
      <c r="X187" s="4">
        <f>IF(T187="S", B187*(1+'Input Fee and Elasticity Inputs'!$B$9), IF(T187="A", B187*(1+'Input Fee and Elasticity Inputs'!$B$10), IF(T187="B", B187*(1+'Input Fee and Elasticity Inputs'!$B$11), B187*(1+'Input Fee and Elasticity Inputs'!$B$12))))</f>
        <v>7204.8</v>
      </c>
      <c r="Y187" s="33">
        <f t="shared" si="10"/>
        <v>7.5</v>
      </c>
      <c r="Z187" s="33">
        <f t="shared" si="11"/>
        <v>54036</v>
      </c>
      <c r="AA187" s="33">
        <f t="shared" si="12"/>
        <v>-2844</v>
      </c>
    </row>
    <row r="188">
      <c r="A188" s="3" t="s">
        <v>196</v>
      </c>
      <c r="B188" s="4">
        <v>7560.0</v>
      </c>
      <c r="C188" s="5">
        <v>3.0</v>
      </c>
      <c r="D188" s="5">
        <v>6.0</v>
      </c>
      <c r="E188" s="6">
        <v>0.24</v>
      </c>
      <c r="F188" s="7">
        <v>14.0</v>
      </c>
      <c r="G188" s="6">
        <v>0.27</v>
      </c>
      <c r="H188" s="8">
        <v>0.0456</v>
      </c>
      <c r="I188" s="8">
        <v>0.010352773356000001</v>
      </c>
      <c r="J188" s="9">
        <v>6.0</v>
      </c>
      <c r="K188" s="29" t="str">
        <f t="shared" si="1"/>
        <v>SMB</v>
      </c>
      <c r="L188" s="30">
        <f t="shared" si="2"/>
        <v>3.78</v>
      </c>
      <c r="M188" s="31">
        <f>PERCENTRANK(B$2:B$201,B188)*'Input Resturant Brands Scoring '!$B$3</f>
        <v>2.275</v>
      </c>
      <c r="N188" s="32">
        <f>(1-PERCENTRANK(J$2:J$201,J188))*'Input Resturant Brands Scoring '!$B$5</f>
        <v>14.022</v>
      </c>
      <c r="O188" s="31">
        <f>(1-PERCENTRANK(I$2:I$201,I188))*'Input Resturant Brands Scoring '!$B$6</f>
        <v>11.7</v>
      </c>
      <c r="P188" s="31">
        <f t="shared" si="3"/>
        <v>25.722</v>
      </c>
      <c r="Q188" s="31">
        <f>PERCENTRANK(L$2:L$201,L188)*'Input Resturant Brands Scoring '!$B$7</f>
        <v>2.45</v>
      </c>
      <c r="R188" s="31">
        <f t="shared" si="4"/>
        <v>30.447</v>
      </c>
      <c r="S188" s="12">
        <f t="shared" si="5"/>
        <v>183</v>
      </c>
      <c r="T188" s="12" t="str">
        <f t="shared" si="13"/>
        <v>C</v>
      </c>
      <c r="U188" s="33">
        <f t="shared" si="7"/>
        <v>28576.8</v>
      </c>
      <c r="V188" s="13">
        <f t="shared" si="8"/>
        <v>0.3</v>
      </c>
      <c r="W188" s="34">
        <f t="shared" si="9"/>
        <v>0.03</v>
      </c>
      <c r="X188" s="4">
        <f>IF(T188="S", B188*(1+'Input Fee and Elasticity Inputs'!$B$9), IF(T188="A", B188*(1+'Input Fee and Elasticity Inputs'!$B$10), IF(T188="B", B188*(1+'Input Fee and Elasticity Inputs'!$B$11), B188*(1+'Input Fee and Elasticity Inputs'!$B$12))))</f>
        <v>6426</v>
      </c>
      <c r="Y188" s="33">
        <f t="shared" si="10"/>
        <v>4.2</v>
      </c>
      <c r="Z188" s="33">
        <f t="shared" si="11"/>
        <v>26989.2</v>
      </c>
      <c r="AA188" s="33">
        <f t="shared" si="12"/>
        <v>-1587.6</v>
      </c>
    </row>
    <row r="189">
      <c r="A189" s="3" t="s">
        <v>197</v>
      </c>
      <c r="B189" s="4">
        <v>7440.0</v>
      </c>
      <c r="C189" s="5">
        <v>7.0</v>
      </c>
      <c r="D189" s="5">
        <v>9.0</v>
      </c>
      <c r="E189" s="6">
        <v>0.36</v>
      </c>
      <c r="F189" s="7">
        <v>17.6</v>
      </c>
      <c r="G189" s="6">
        <v>0.29</v>
      </c>
      <c r="H189" s="8">
        <v>0.032</v>
      </c>
      <c r="I189" s="8">
        <v>0.024672238686</v>
      </c>
      <c r="J189" s="9">
        <v>22.0</v>
      </c>
      <c r="K189" s="29" t="str">
        <f t="shared" si="1"/>
        <v>SMB</v>
      </c>
      <c r="L189" s="30">
        <f t="shared" si="2"/>
        <v>5.104</v>
      </c>
      <c r="M189" s="31">
        <f>PERCENTRANK(B$2:B$201,B189)*'Input Resturant Brands Scoring '!$B$3</f>
        <v>2.1</v>
      </c>
      <c r="N189" s="32">
        <f>(1-PERCENTRANK(J$2:J$201,J189))*'Input Resturant Brands Scoring '!$B$5</f>
        <v>3.078</v>
      </c>
      <c r="O189" s="31">
        <f>(1-PERCENTRANK(I$2:I$201,I189))*'Input Resturant Brands Scoring '!$B$6</f>
        <v>2.592</v>
      </c>
      <c r="P189" s="31">
        <f t="shared" si="3"/>
        <v>5.67</v>
      </c>
      <c r="Q189" s="31">
        <f>PERCENTRANK(L$2:L$201,L189)*'Input Resturant Brands Scoring '!$B$7</f>
        <v>13.895</v>
      </c>
      <c r="R189" s="31">
        <f t="shared" si="4"/>
        <v>21.665</v>
      </c>
      <c r="S189" s="12">
        <f t="shared" si="5"/>
        <v>196</v>
      </c>
      <c r="T189" s="12" t="str">
        <f t="shared" si="13"/>
        <v>C</v>
      </c>
      <c r="U189" s="33">
        <f t="shared" si="7"/>
        <v>37973.76</v>
      </c>
      <c r="V189" s="13">
        <f t="shared" si="8"/>
        <v>0.3</v>
      </c>
      <c r="W189" s="34">
        <f t="shared" si="9"/>
        <v>0.01</v>
      </c>
      <c r="X189" s="4">
        <f>IF(T189="S", B189*(1+'Input Fee and Elasticity Inputs'!$B$9), IF(T189="A", B189*(1+'Input Fee and Elasticity Inputs'!$B$10), IF(T189="B", B189*(1+'Input Fee and Elasticity Inputs'!$B$11), B189*(1+'Input Fee and Elasticity Inputs'!$B$12))))</f>
        <v>6324</v>
      </c>
      <c r="Y189" s="33">
        <f t="shared" si="10"/>
        <v>5.28</v>
      </c>
      <c r="Z189" s="33">
        <f t="shared" si="11"/>
        <v>33390.72</v>
      </c>
      <c r="AA189" s="33">
        <f t="shared" si="12"/>
        <v>-4583.04</v>
      </c>
    </row>
    <row r="190">
      <c r="A190" s="3" t="s">
        <v>198</v>
      </c>
      <c r="B190" s="4">
        <v>7128.0</v>
      </c>
      <c r="C190" s="5">
        <v>7.0</v>
      </c>
      <c r="D190" s="5">
        <v>8.0</v>
      </c>
      <c r="E190" s="6">
        <v>0.86</v>
      </c>
      <c r="F190" s="7">
        <v>14.2</v>
      </c>
      <c r="G190" s="6">
        <v>0.3</v>
      </c>
      <c r="H190" s="8">
        <v>0.0384</v>
      </c>
      <c r="I190" s="8">
        <v>0.022783063133999998</v>
      </c>
      <c r="J190" s="9">
        <v>21.0</v>
      </c>
      <c r="K190" s="29" t="str">
        <f t="shared" si="1"/>
        <v>SMB</v>
      </c>
      <c r="L190" s="30">
        <f t="shared" si="2"/>
        <v>4.26</v>
      </c>
      <c r="M190" s="31">
        <f>PERCENTRANK(B$2:B$201,B190)*'Input Resturant Brands Scoring '!$B$3</f>
        <v>1.75</v>
      </c>
      <c r="N190" s="32">
        <f>(1-PERCENTRANK(J$2:J$201,J190))*'Input Resturant Brands Scoring '!$B$5</f>
        <v>3.348</v>
      </c>
      <c r="O190" s="31">
        <f>(1-PERCENTRANK(I$2:I$201,I190))*'Input Resturant Brands Scoring '!$B$6</f>
        <v>4.044</v>
      </c>
      <c r="P190" s="31">
        <f t="shared" si="3"/>
        <v>7.392</v>
      </c>
      <c r="Q190" s="31">
        <f>PERCENTRANK(L$2:L$201,L190)*'Input Resturant Brands Scoring '!$B$7</f>
        <v>5.635</v>
      </c>
      <c r="R190" s="31">
        <f t="shared" si="4"/>
        <v>14.777</v>
      </c>
      <c r="S190" s="12">
        <f t="shared" si="5"/>
        <v>200</v>
      </c>
      <c r="T190" s="12" t="str">
        <f t="shared" si="13"/>
        <v>C</v>
      </c>
      <c r="U190" s="33">
        <f t="shared" si="7"/>
        <v>30365.28</v>
      </c>
      <c r="V190" s="13">
        <f t="shared" si="8"/>
        <v>0.3</v>
      </c>
      <c r="W190" s="34">
        <f t="shared" si="9"/>
        <v>0</v>
      </c>
      <c r="X190" s="4">
        <f>IF(T190="S", B190*(1+'Input Fee and Elasticity Inputs'!$B$9), IF(T190="A", B190*(1+'Input Fee and Elasticity Inputs'!$B$10), IF(T190="B", B190*(1+'Input Fee and Elasticity Inputs'!$B$11), B190*(1+'Input Fee and Elasticity Inputs'!$B$12))))</f>
        <v>6058.8</v>
      </c>
      <c r="Y190" s="33">
        <f t="shared" si="10"/>
        <v>4.26</v>
      </c>
      <c r="Z190" s="33">
        <f t="shared" si="11"/>
        <v>25810.488</v>
      </c>
      <c r="AA190" s="33">
        <f t="shared" si="12"/>
        <v>-4554.792</v>
      </c>
    </row>
    <row r="191">
      <c r="A191" s="3" t="s">
        <v>199</v>
      </c>
      <c r="B191" s="4">
        <v>7128.0</v>
      </c>
      <c r="C191" s="5">
        <v>7.0</v>
      </c>
      <c r="D191" s="5">
        <v>20.0</v>
      </c>
      <c r="E191" s="6">
        <v>0.69</v>
      </c>
      <c r="F191" s="7">
        <v>18.7</v>
      </c>
      <c r="G191" s="6">
        <v>0.3</v>
      </c>
      <c r="H191" s="8">
        <v>0.036</v>
      </c>
      <c r="I191" s="8">
        <v>0.013478715623999998</v>
      </c>
      <c r="J191" s="9">
        <v>16.0</v>
      </c>
      <c r="K191" s="29" t="str">
        <f t="shared" si="1"/>
        <v>SMB</v>
      </c>
      <c r="L191" s="30">
        <f t="shared" si="2"/>
        <v>5.61</v>
      </c>
      <c r="M191" s="31">
        <f>PERCENTRANK(B$2:B$201,B191)*'Input Resturant Brands Scoring '!$B$3</f>
        <v>1.75</v>
      </c>
      <c r="N191" s="32">
        <f>(1-PERCENTRANK(J$2:J$201,J191))*'Input Resturant Brands Scoring '!$B$5</f>
        <v>5.148</v>
      </c>
      <c r="O191" s="31">
        <f>(1-PERCENTRANK(I$2:I$201,I191))*'Input Resturant Brands Scoring '!$B$6</f>
        <v>10.608</v>
      </c>
      <c r="P191" s="31">
        <f t="shared" si="3"/>
        <v>15.756</v>
      </c>
      <c r="Q191" s="31">
        <f>PERCENTRANK(L$2:L$201,L191)*'Input Resturant Brands Scoring '!$B$7</f>
        <v>20.23</v>
      </c>
      <c r="R191" s="31">
        <f t="shared" si="4"/>
        <v>37.736</v>
      </c>
      <c r="S191" s="12">
        <f t="shared" si="5"/>
        <v>155</v>
      </c>
      <c r="T191" s="12" t="str">
        <f t="shared" si="13"/>
        <v>C</v>
      </c>
      <c r="U191" s="33">
        <f t="shared" si="7"/>
        <v>39988.08</v>
      </c>
      <c r="V191" s="13">
        <f t="shared" si="8"/>
        <v>0.3</v>
      </c>
      <c r="W191" s="34">
        <f t="shared" si="9"/>
        <v>0</v>
      </c>
      <c r="X191" s="4">
        <f>IF(T191="S", B191*(1+'Input Fee and Elasticity Inputs'!$B$9), IF(T191="A", B191*(1+'Input Fee and Elasticity Inputs'!$B$10), IF(T191="B", B191*(1+'Input Fee and Elasticity Inputs'!$B$11), B191*(1+'Input Fee and Elasticity Inputs'!$B$12))))</f>
        <v>6058.8</v>
      </c>
      <c r="Y191" s="33">
        <f t="shared" si="10"/>
        <v>5.61</v>
      </c>
      <c r="Z191" s="33">
        <f t="shared" si="11"/>
        <v>33989.868</v>
      </c>
      <c r="AA191" s="33">
        <f t="shared" si="12"/>
        <v>-5998.212</v>
      </c>
    </row>
    <row r="192">
      <c r="A192" s="3" t="s">
        <v>200</v>
      </c>
      <c r="B192" s="4">
        <v>6840.0</v>
      </c>
      <c r="C192" s="5">
        <v>7.0</v>
      </c>
      <c r="D192" s="5">
        <v>16.0</v>
      </c>
      <c r="E192" s="6">
        <v>0.84</v>
      </c>
      <c r="F192" s="7">
        <v>20.4</v>
      </c>
      <c r="G192" s="6">
        <v>0.29</v>
      </c>
      <c r="H192" s="8">
        <v>0.0572</v>
      </c>
      <c r="I192" s="8">
        <v>0.015056923877999999</v>
      </c>
      <c r="J192" s="9">
        <v>14.0</v>
      </c>
      <c r="K192" s="29" t="str">
        <f t="shared" si="1"/>
        <v>SMB</v>
      </c>
      <c r="L192" s="30">
        <f t="shared" si="2"/>
        <v>5.916</v>
      </c>
      <c r="M192" s="31">
        <f>PERCENTRANK(B$2:B$201,B192)*'Input Resturant Brands Scoring '!$B$3</f>
        <v>1.575</v>
      </c>
      <c r="N192" s="32">
        <f>(1-PERCENTRANK(J$2:J$201,J192))*'Input Resturant Brands Scoring '!$B$5</f>
        <v>6.426</v>
      </c>
      <c r="O192" s="31">
        <f>(1-PERCENTRANK(I$2:I$201,I192))*'Input Resturant Brands Scoring '!$B$6</f>
        <v>8.568</v>
      </c>
      <c r="P192" s="31">
        <f t="shared" si="3"/>
        <v>14.994</v>
      </c>
      <c r="Q192" s="31">
        <f>PERCENTRANK(L$2:L$201,L192)*'Input Resturant Brands Scoring '!$B$7</f>
        <v>22.505</v>
      </c>
      <c r="R192" s="31">
        <f t="shared" si="4"/>
        <v>39.074</v>
      </c>
      <c r="S192" s="12">
        <f t="shared" si="5"/>
        <v>152</v>
      </c>
      <c r="T192" s="12" t="str">
        <f t="shared" si="13"/>
        <v>C</v>
      </c>
      <c r="U192" s="33">
        <f t="shared" si="7"/>
        <v>40465.44</v>
      </c>
      <c r="V192" s="13">
        <f t="shared" si="8"/>
        <v>0.3</v>
      </c>
      <c r="W192" s="34">
        <f t="shared" si="9"/>
        <v>0.01</v>
      </c>
      <c r="X192" s="4">
        <f>IF(T192="S", B192*(1+'Input Fee and Elasticity Inputs'!$B$9), IF(T192="A", B192*(1+'Input Fee and Elasticity Inputs'!$B$10), IF(T192="B", B192*(1+'Input Fee and Elasticity Inputs'!$B$11), B192*(1+'Input Fee and Elasticity Inputs'!$B$12))))</f>
        <v>5814</v>
      </c>
      <c r="Y192" s="33">
        <f t="shared" si="10"/>
        <v>6.12</v>
      </c>
      <c r="Z192" s="33">
        <f t="shared" si="11"/>
        <v>35581.68</v>
      </c>
      <c r="AA192" s="33">
        <f t="shared" si="12"/>
        <v>-4883.76</v>
      </c>
    </row>
    <row r="193">
      <c r="A193" s="3" t="s">
        <v>201</v>
      </c>
      <c r="B193" s="4">
        <v>6732.0</v>
      </c>
      <c r="C193" s="5">
        <v>7.0</v>
      </c>
      <c r="D193" s="5">
        <v>13.0</v>
      </c>
      <c r="E193" s="6">
        <v>0.82</v>
      </c>
      <c r="F193" s="7">
        <v>15.0</v>
      </c>
      <c r="G193" s="6">
        <v>0.25</v>
      </c>
      <c r="H193" s="8">
        <v>0.088</v>
      </c>
      <c r="I193" s="8">
        <v>0.019217141579999996</v>
      </c>
      <c r="J193" s="9">
        <v>4.0</v>
      </c>
      <c r="K193" s="29" t="str">
        <f t="shared" si="1"/>
        <v>SMB</v>
      </c>
      <c r="L193" s="30">
        <f t="shared" si="2"/>
        <v>3.75</v>
      </c>
      <c r="M193" s="31">
        <f>PERCENTRANK(B$2:B$201,B193)*'Input Resturant Brands Scoring '!$B$3</f>
        <v>1.4</v>
      </c>
      <c r="N193" s="32">
        <f>(1-PERCENTRANK(J$2:J$201,J193))*'Input Resturant Brands Scoring '!$B$5</f>
        <v>17.1</v>
      </c>
      <c r="O193" s="31">
        <f>(1-PERCENTRANK(I$2:I$201,I193))*'Input Resturant Brands Scoring '!$B$6</f>
        <v>5.784</v>
      </c>
      <c r="P193" s="31">
        <f t="shared" si="3"/>
        <v>22.884</v>
      </c>
      <c r="Q193" s="31">
        <f>PERCENTRANK(L$2:L$201,L193)*'Input Resturant Brands Scoring '!$B$7</f>
        <v>2.275</v>
      </c>
      <c r="R193" s="31">
        <f t="shared" si="4"/>
        <v>26.559</v>
      </c>
      <c r="S193" s="12">
        <f t="shared" si="5"/>
        <v>189</v>
      </c>
      <c r="T193" s="12" t="str">
        <f t="shared" si="13"/>
        <v>C</v>
      </c>
      <c r="U193" s="33">
        <f t="shared" si="7"/>
        <v>25245</v>
      </c>
      <c r="V193" s="13">
        <f t="shared" si="8"/>
        <v>0.28</v>
      </c>
      <c r="W193" s="34">
        <f t="shared" si="9"/>
        <v>0.03</v>
      </c>
      <c r="X193" s="4">
        <f>IF(T193="S", B193*(1+'Input Fee and Elasticity Inputs'!$B$9), IF(T193="A", B193*(1+'Input Fee and Elasticity Inputs'!$B$10), IF(T193="B", B193*(1+'Input Fee and Elasticity Inputs'!$B$11), B193*(1+'Input Fee and Elasticity Inputs'!$B$12))))</f>
        <v>5722.2</v>
      </c>
      <c r="Y193" s="33">
        <f t="shared" si="10"/>
        <v>4.2</v>
      </c>
      <c r="Z193" s="33">
        <f t="shared" si="11"/>
        <v>24033.24</v>
      </c>
      <c r="AA193" s="33">
        <f t="shared" si="12"/>
        <v>-1211.76</v>
      </c>
    </row>
    <row r="194">
      <c r="A194" s="3" t="s">
        <v>202</v>
      </c>
      <c r="B194" s="4">
        <v>6432.0</v>
      </c>
      <c r="C194" s="5">
        <v>6.0</v>
      </c>
      <c r="D194" s="5">
        <v>32.0</v>
      </c>
      <c r="E194" s="6">
        <v>0.01</v>
      </c>
      <c r="F194" s="7">
        <v>25.0</v>
      </c>
      <c r="G194" s="6">
        <v>0.16</v>
      </c>
      <c r="H194" s="8">
        <v>0.0548</v>
      </c>
      <c r="I194" s="8">
        <v>0.014408406779999999</v>
      </c>
      <c r="J194" s="9">
        <v>6.0</v>
      </c>
      <c r="K194" s="29" t="str">
        <f t="shared" si="1"/>
        <v>SMB</v>
      </c>
      <c r="L194" s="30">
        <f t="shared" si="2"/>
        <v>4</v>
      </c>
      <c r="M194" s="31">
        <f>PERCENTRANK(B$2:B$201,B194)*'Input Resturant Brands Scoring '!$B$3</f>
        <v>1.225</v>
      </c>
      <c r="N194" s="32">
        <f>(1-PERCENTRANK(J$2:J$201,J194))*'Input Resturant Brands Scoring '!$B$5</f>
        <v>14.022</v>
      </c>
      <c r="O194" s="31">
        <f>(1-PERCENTRANK(I$2:I$201,I194))*'Input Resturant Brands Scoring '!$B$6</f>
        <v>9.048</v>
      </c>
      <c r="P194" s="31">
        <f t="shared" si="3"/>
        <v>23.07</v>
      </c>
      <c r="Q194" s="31">
        <f>PERCENTRANK(L$2:L$201,L194)*'Input Resturant Brands Scoring '!$B$7</f>
        <v>3.71</v>
      </c>
      <c r="R194" s="31">
        <f t="shared" si="4"/>
        <v>28.005</v>
      </c>
      <c r="S194" s="12">
        <f t="shared" si="5"/>
        <v>188</v>
      </c>
      <c r="T194" s="12" t="str">
        <f t="shared" si="13"/>
        <v>C</v>
      </c>
      <c r="U194" s="33">
        <f t="shared" si="7"/>
        <v>25728</v>
      </c>
      <c r="V194" s="13">
        <f t="shared" si="8"/>
        <v>0.19</v>
      </c>
      <c r="W194" s="34">
        <f t="shared" si="9"/>
        <v>0.03</v>
      </c>
      <c r="X194" s="4">
        <f>IF(T194="S", B194*(1+'Input Fee and Elasticity Inputs'!$B$9), IF(T194="A", B194*(1+'Input Fee and Elasticity Inputs'!$B$10), IF(T194="B", B194*(1+'Input Fee and Elasticity Inputs'!$B$11), B194*(1+'Input Fee and Elasticity Inputs'!$B$12))))</f>
        <v>5467.2</v>
      </c>
      <c r="Y194" s="33">
        <f t="shared" si="10"/>
        <v>4.75</v>
      </c>
      <c r="Z194" s="33">
        <f t="shared" si="11"/>
        <v>25969.2</v>
      </c>
      <c r="AA194" s="33">
        <f t="shared" si="12"/>
        <v>241.2</v>
      </c>
    </row>
    <row r="195">
      <c r="A195" s="3" t="s">
        <v>203</v>
      </c>
      <c r="B195" s="4">
        <v>6240.0</v>
      </c>
      <c r="C195" s="5">
        <v>7.0</v>
      </c>
      <c r="D195" s="5">
        <v>28.0</v>
      </c>
      <c r="E195" s="6">
        <v>0.85</v>
      </c>
      <c r="F195" s="7">
        <v>16.3</v>
      </c>
      <c r="G195" s="6">
        <v>0.25</v>
      </c>
      <c r="H195" s="8">
        <v>0.048</v>
      </c>
      <c r="I195" s="8">
        <v>0.014463046061999999</v>
      </c>
      <c r="J195" s="9">
        <v>26.0</v>
      </c>
      <c r="K195" s="29" t="str">
        <f t="shared" si="1"/>
        <v>SMB</v>
      </c>
      <c r="L195" s="30">
        <f t="shared" si="2"/>
        <v>4.075</v>
      </c>
      <c r="M195" s="31">
        <f>PERCENTRANK(B$2:B$201,B195)*'Input Resturant Brands Scoring '!$B$3</f>
        <v>1.05</v>
      </c>
      <c r="N195" s="32">
        <f>(1-PERCENTRANK(J$2:J$201,J195))*'Input Resturant Brands Scoring '!$B$5</f>
        <v>1.998</v>
      </c>
      <c r="O195" s="31">
        <f>(1-PERCENTRANK(I$2:I$201,I195))*'Input Resturant Brands Scoring '!$B$6</f>
        <v>8.988</v>
      </c>
      <c r="P195" s="31">
        <f t="shared" si="3"/>
        <v>10.986</v>
      </c>
      <c r="Q195" s="31">
        <f>PERCENTRANK(L$2:L$201,L195)*'Input Resturant Brands Scoring '!$B$7</f>
        <v>4.06</v>
      </c>
      <c r="R195" s="31">
        <f t="shared" si="4"/>
        <v>16.096</v>
      </c>
      <c r="S195" s="12">
        <f t="shared" si="5"/>
        <v>199</v>
      </c>
      <c r="T195" s="12" t="str">
        <f t="shared" si="13"/>
        <v>C</v>
      </c>
      <c r="U195" s="33">
        <f t="shared" si="7"/>
        <v>25428</v>
      </c>
      <c r="V195" s="13">
        <f t="shared" si="8"/>
        <v>0.28</v>
      </c>
      <c r="W195" s="34">
        <f t="shared" si="9"/>
        <v>0.03</v>
      </c>
      <c r="X195" s="4">
        <f>IF(T195="S", B195*(1+'Input Fee and Elasticity Inputs'!$B$9), IF(T195="A", B195*(1+'Input Fee and Elasticity Inputs'!$B$10), IF(T195="B", B195*(1+'Input Fee and Elasticity Inputs'!$B$11), B195*(1+'Input Fee and Elasticity Inputs'!$B$12))))</f>
        <v>5304</v>
      </c>
      <c r="Y195" s="33">
        <f t="shared" si="10"/>
        <v>4.564</v>
      </c>
      <c r="Z195" s="33">
        <f t="shared" si="11"/>
        <v>24207.456</v>
      </c>
      <c r="AA195" s="33">
        <f t="shared" si="12"/>
        <v>-1220.544</v>
      </c>
    </row>
    <row r="196">
      <c r="A196" s="3" t="s">
        <v>204</v>
      </c>
      <c r="B196" s="4">
        <v>5376.0</v>
      </c>
      <c r="C196" s="5">
        <v>6.0</v>
      </c>
      <c r="D196" s="5">
        <v>26.0</v>
      </c>
      <c r="E196" s="6">
        <v>0.32</v>
      </c>
      <c r="F196" s="7">
        <v>22.0</v>
      </c>
      <c r="G196" s="6">
        <v>0.3</v>
      </c>
      <c r="H196" s="8">
        <v>0.0716</v>
      </c>
      <c r="I196" s="8">
        <v>0.01251165024</v>
      </c>
      <c r="J196" s="9">
        <v>10.0</v>
      </c>
      <c r="K196" s="29" t="str">
        <f t="shared" si="1"/>
        <v>SMB</v>
      </c>
      <c r="L196" s="30">
        <f t="shared" si="2"/>
        <v>6.6</v>
      </c>
      <c r="M196" s="31">
        <f>PERCENTRANK(B$2:B$201,B196)*'Input Resturant Brands Scoring '!$B$3</f>
        <v>0.875</v>
      </c>
      <c r="N196" s="32">
        <f>(1-PERCENTRANK(J$2:J$201,J196))*'Input Resturant Brands Scoring '!$B$5</f>
        <v>9.054</v>
      </c>
      <c r="O196" s="31">
        <f>(1-PERCENTRANK(I$2:I$201,I196))*'Input Resturant Brands Scoring '!$B$6</f>
        <v>11.16</v>
      </c>
      <c r="P196" s="31">
        <f t="shared" si="3"/>
        <v>20.214</v>
      </c>
      <c r="Q196" s="31">
        <f>PERCENTRANK(L$2:L$201,L196)*'Input Resturant Brands Scoring '!$B$7</f>
        <v>26.39</v>
      </c>
      <c r="R196" s="31">
        <f t="shared" si="4"/>
        <v>47.479</v>
      </c>
      <c r="S196" s="12">
        <f t="shared" si="5"/>
        <v>117</v>
      </c>
      <c r="T196" s="12" t="str">
        <f t="shared" si="13"/>
        <v>B</v>
      </c>
      <c r="U196" s="33">
        <f t="shared" si="7"/>
        <v>35481.6</v>
      </c>
      <c r="V196" s="13">
        <f t="shared" si="8"/>
        <v>0.3</v>
      </c>
      <c r="W196" s="34">
        <f t="shared" si="9"/>
        <v>0</v>
      </c>
      <c r="X196" s="4">
        <f>IF(T196="S", B196*(1+'Input Fee and Elasticity Inputs'!$B$9), IF(T196="A", B196*(1+'Input Fee and Elasticity Inputs'!$B$10), IF(T196="B", B196*(1+'Input Fee and Elasticity Inputs'!$B$11), B196*(1+'Input Fee and Elasticity Inputs'!$B$12))))</f>
        <v>5107.2</v>
      </c>
      <c r="Y196" s="33">
        <f t="shared" si="10"/>
        <v>6.6</v>
      </c>
      <c r="Z196" s="33">
        <f t="shared" si="11"/>
        <v>33707.52</v>
      </c>
      <c r="AA196" s="33">
        <f t="shared" si="12"/>
        <v>-1774.08</v>
      </c>
    </row>
    <row r="197">
      <c r="A197" s="3" t="s">
        <v>205</v>
      </c>
      <c r="B197" s="4">
        <v>4536.0</v>
      </c>
      <c r="C197" s="5">
        <v>6.0</v>
      </c>
      <c r="D197" s="5">
        <v>55.0</v>
      </c>
      <c r="E197" s="6">
        <v>0.09</v>
      </c>
      <c r="F197" s="7">
        <v>16.4</v>
      </c>
      <c r="G197" s="6">
        <v>0.3</v>
      </c>
      <c r="H197" s="8">
        <v>0.0048</v>
      </c>
      <c r="I197" s="8">
        <v>0.014368164102</v>
      </c>
      <c r="J197" s="9">
        <v>6.0</v>
      </c>
      <c r="K197" s="29" t="str">
        <f t="shared" si="1"/>
        <v>SMB</v>
      </c>
      <c r="L197" s="30">
        <f t="shared" si="2"/>
        <v>4.92</v>
      </c>
      <c r="M197" s="31">
        <f>PERCENTRANK(B$2:B$201,B197)*'Input Resturant Brands Scoring '!$B$3</f>
        <v>0.7</v>
      </c>
      <c r="N197" s="32">
        <f>(1-PERCENTRANK(J$2:J$201,J197))*'Input Resturant Brands Scoring '!$B$5</f>
        <v>14.022</v>
      </c>
      <c r="O197" s="31">
        <f>(1-PERCENTRANK(I$2:I$201,I197))*'Input Resturant Brands Scoring '!$B$6</f>
        <v>9.168</v>
      </c>
      <c r="P197" s="31">
        <f t="shared" si="3"/>
        <v>23.19</v>
      </c>
      <c r="Q197" s="31">
        <f>PERCENTRANK(L$2:L$201,L197)*'Input Resturant Brands Scoring '!$B$7</f>
        <v>12.145</v>
      </c>
      <c r="R197" s="31">
        <f t="shared" si="4"/>
        <v>36.035</v>
      </c>
      <c r="S197" s="12">
        <f t="shared" si="5"/>
        <v>162</v>
      </c>
      <c r="T197" s="12" t="str">
        <f t="shared" si="13"/>
        <v>C</v>
      </c>
      <c r="U197" s="33">
        <f t="shared" si="7"/>
        <v>22317.12</v>
      </c>
      <c r="V197" s="13">
        <f t="shared" si="8"/>
        <v>0.3</v>
      </c>
      <c r="W197" s="34">
        <f t="shared" si="9"/>
        <v>0</v>
      </c>
      <c r="X197" s="4">
        <f>IF(T197="S", B197*(1+'Input Fee and Elasticity Inputs'!$B$9), IF(T197="A", B197*(1+'Input Fee and Elasticity Inputs'!$B$10), IF(T197="B", B197*(1+'Input Fee and Elasticity Inputs'!$B$11), B197*(1+'Input Fee and Elasticity Inputs'!$B$12))))</f>
        <v>3855.6</v>
      </c>
      <c r="Y197" s="33">
        <f t="shared" si="10"/>
        <v>4.92</v>
      </c>
      <c r="Z197" s="33">
        <f t="shared" si="11"/>
        <v>18969.552</v>
      </c>
      <c r="AA197" s="33">
        <f t="shared" si="12"/>
        <v>-3347.568</v>
      </c>
    </row>
    <row r="198">
      <c r="A198" s="3" t="s">
        <v>206</v>
      </c>
      <c r="B198" s="4">
        <v>4032.0</v>
      </c>
      <c r="C198" s="5">
        <v>6.0</v>
      </c>
      <c r="D198" s="5">
        <v>9.0</v>
      </c>
      <c r="E198" s="6">
        <v>0.9</v>
      </c>
      <c r="F198" s="7">
        <v>20.9</v>
      </c>
      <c r="G198" s="6">
        <v>0.3</v>
      </c>
      <c r="H198" s="8">
        <v>0.092</v>
      </c>
      <c r="I198" s="8">
        <v>0.013667971271999998</v>
      </c>
      <c r="J198" s="9">
        <v>25.0</v>
      </c>
      <c r="K198" s="29" t="str">
        <f t="shared" si="1"/>
        <v>SMB</v>
      </c>
      <c r="L198" s="30">
        <f t="shared" si="2"/>
        <v>6.27</v>
      </c>
      <c r="M198" s="31">
        <f>PERCENTRANK(B$2:B$201,B198)*'Input Resturant Brands Scoring '!$B$3</f>
        <v>0.525</v>
      </c>
      <c r="N198" s="32">
        <f>(1-PERCENTRANK(J$2:J$201,J198))*'Input Resturant Brands Scoring '!$B$5</f>
        <v>2.358</v>
      </c>
      <c r="O198" s="31">
        <f>(1-PERCENTRANK(I$2:I$201,I198))*'Input Resturant Brands Scoring '!$B$6</f>
        <v>10.488</v>
      </c>
      <c r="P198" s="31">
        <f t="shared" si="3"/>
        <v>12.846</v>
      </c>
      <c r="Q198" s="31">
        <f>PERCENTRANK(L$2:L$201,L198)*'Input Resturant Brands Scoring '!$B$7</f>
        <v>24.99</v>
      </c>
      <c r="R198" s="31">
        <f t="shared" si="4"/>
        <v>38.361</v>
      </c>
      <c r="S198" s="12">
        <f t="shared" si="5"/>
        <v>154</v>
      </c>
      <c r="T198" s="12" t="str">
        <f t="shared" si="13"/>
        <v>C</v>
      </c>
      <c r="U198" s="33">
        <f t="shared" si="7"/>
        <v>25280.64</v>
      </c>
      <c r="V198" s="13">
        <f t="shared" si="8"/>
        <v>0.3</v>
      </c>
      <c r="W198" s="34">
        <f t="shared" si="9"/>
        <v>0</v>
      </c>
      <c r="X198" s="4">
        <f>IF(T198="S", B198*(1+'Input Fee and Elasticity Inputs'!$B$9), IF(T198="A", B198*(1+'Input Fee and Elasticity Inputs'!$B$10), IF(T198="B", B198*(1+'Input Fee and Elasticity Inputs'!$B$11), B198*(1+'Input Fee and Elasticity Inputs'!$B$12))))</f>
        <v>3427.2</v>
      </c>
      <c r="Y198" s="33">
        <f t="shared" si="10"/>
        <v>6.27</v>
      </c>
      <c r="Z198" s="33">
        <f t="shared" si="11"/>
        <v>21488.544</v>
      </c>
      <c r="AA198" s="33">
        <f t="shared" si="12"/>
        <v>-3792.096</v>
      </c>
    </row>
    <row r="199">
      <c r="A199" s="3" t="s">
        <v>207</v>
      </c>
      <c r="B199" s="4">
        <v>3264.0</v>
      </c>
      <c r="C199" s="5">
        <v>6.0</v>
      </c>
      <c r="D199" s="5">
        <v>41.0</v>
      </c>
      <c r="E199" s="6">
        <v>0.12</v>
      </c>
      <c r="F199" s="7">
        <v>21.6</v>
      </c>
      <c r="G199" s="6">
        <v>0.26</v>
      </c>
      <c r="H199" s="8">
        <v>0.0808</v>
      </c>
      <c r="I199" s="8">
        <v>0.016318170995999998</v>
      </c>
      <c r="J199" s="9">
        <v>14.0</v>
      </c>
      <c r="K199" s="29" t="str">
        <f t="shared" si="1"/>
        <v>SMB</v>
      </c>
      <c r="L199" s="30">
        <f t="shared" si="2"/>
        <v>5.616</v>
      </c>
      <c r="M199" s="31">
        <f>PERCENTRANK(B$2:B$201,B199)*'Input Resturant Brands Scoring '!$B$3</f>
        <v>0.35</v>
      </c>
      <c r="N199" s="32">
        <f>(1-PERCENTRANK(J$2:J$201,J199))*'Input Resturant Brands Scoring '!$B$5</f>
        <v>6.426</v>
      </c>
      <c r="O199" s="31">
        <f>(1-PERCENTRANK(I$2:I$201,I199))*'Input Resturant Brands Scoring '!$B$6</f>
        <v>7.656</v>
      </c>
      <c r="P199" s="31">
        <f t="shared" si="3"/>
        <v>14.082</v>
      </c>
      <c r="Q199" s="31">
        <f>PERCENTRANK(L$2:L$201,L199)*'Input Resturant Brands Scoring '!$B$7</f>
        <v>20.405</v>
      </c>
      <c r="R199" s="31">
        <f t="shared" si="4"/>
        <v>34.837</v>
      </c>
      <c r="S199" s="12">
        <f t="shared" si="5"/>
        <v>168</v>
      </c>
      <c r="T199" s="12" t="str">
        <f t="shared" si="13"/>
        <v>C</v>
      </c>
      <c r="U199" s="33">
        <f t="shared" si="7"/>
        <v>18330.624</v>
      </c>
      <c r="V199" s="13">
        <f t="shared" si="8"/>
        <v>0.29</v>
      </c>
      <c r="W199" s="34">
        <f t="shared" si="9"/>
        <v>0.03</v>
      </c>
      <c r="X199" s="4">
        <f>IF(T199="S", B199*(1+'Input Fee and Elasticity Inputs'!$B$9), IF(T199="A", B199*(1+'Input Fee and Elasticity Inputs'!$B$10), IF(T199="B", B199*(1+'Input Fee and Elasticity Inputs'!$B$11), B199*(1+'Input Fee and Elasticity Inputs'!$B$12))))</f>
        <v>2774.4</v>
      </c>
      <c r="Y199" s="33">
        <f t="shared" si="10"/>
        <v>6.264</v>
      </c>
      <c r="Z199" s="33">
        <f t="shared" si="11"/>
        <v>17378.8416</v>
      </c>
      <c r="AA199" s="33">
        <f t="shared" si="12"/>
        <v>-951.7824</v>
      </c>
    </row>
    <row r="200">
      <c r="A200" s="3" t="s">
        <v>208</v>
      </c>
      <c r="B200" s="4">
        <v>3240.0</v>
      </c>
      <c r="C200" s="5">
        <v>6.0</v>
      </c>
      <c r="D200" s="5">
        <v>7.0</v>
      </c>
      <c r="E200" s="6">
        <v>0.02</v>
      </c>
      <c r="F200" s="7">
        <v>18.3</v>
      </c>
      <c r="G200" s="6">
        <v>0.16</v>
      </c>
      <c r="H200" s="8">
        <v>0.1088</v>
      </c>
      <c r="I200" s="8">
        <v>0.013709469336</v>
      </c>
      <c r="J200" s="9">
        <v>5.0</v>
      </c>
      <c r="K200" s="29" t="str">
        <f t="shared" si="1"/>
        <v>SMB</v>
      </c>
      <c r="L200" s="30">
        <f t="shared" si="2"/>
        <v>2.928</v>
      </c>
      <c r="M200" s="31">
        <f>PERCENTRANK(B$2:B$201,B200)*'Input Resturant Brands Scoring '!$B$3</f>
        <v>0.175</v>
      </c>
      <c r="N200" s="32">
        <f>(1-PERCENTRANK(J$2:J$201,J200))*'Input Resturant Brands Scoring '!$B$5</f>
        <v>15.462</v>
      </c>
      <c r="O200" s="31">
        <f>(1-PERCENTRANK(I$2:I$201,I200))*'Input Resturant Brands Scoring '!$B$6</f>
        <v>10.368</v>
      </c>
      <c r="P200" s="31">
        <f t="shared" si="3"/>
        <v>25.83</v>
      </c>
      <c r="Q200" s="31">
        <f>PERCENTRANK(L$2:L$201,L200)*'Input Resturant Brands Scoring '!$B$7</f>
        <v>0.35</v>
      </c>
      <c r="R200" s="31">
        <f t="shared" si="4"/>
        <v>26.355</v>
      </c>
      <c r="S200" s="12">
        <f t="shared" si="5"/>
        <v>190</v>
      </c>
      <c r="T200" s="12" t="str">
        <f t="shared" si="13"/>
        <v>C</v>
      </c>
      <c r="U200" s="33">
        <f t="shared" si="7"/>
        <v>9486.72</v>
      </c>
      <c r="V200" s="13">
        <f t="shared" si="8"/>
        <v>0.19</v>
      </c>
      <c r="W200" s="34">
        <f t="shared" si="9"/>
        <v>0.03</v>
      </c>
      <c r="X200" s="4">
        <f>IF(T200="S", B200*(1+'Input Fee and Elasticity Inputs'!$B$9), IF(T200="A", B200*(1+'Input Fee and Elasticity Inputs'!$B$10), IF(T200="B", B200*(1+'Input Fee and Elasticity Inputs'!$B$11), B200*(1+'Input Fee and Elasticity Inputs'!$B$12))))</f>
        <v>2754</v>
      </c>
      <c r="Y200" s="33">
        <f t="shared" si="10"/>
        <v>3.477</v>
      </c>
      <c r="Z200" s="33">
        <f t="shared" si="11"/>
        <v>9575.658</v>
      </c>
      <c r="AA200" s="33">
        <f t="shared" si="12"/>
        <v>88.938</v>
      </c>
    </row>
    <row r="201">
      <c r="A201" s="3" t="s">
        <v>209</v>
      </c>
      <c r="B201" s="4">
        <v>2592.0</v>
      </c>
      <c r="C201" s="5">
        <v>6.0</v>
      </c>
      <c r="D201" s="5">
        <v>38.0</v>
      </c>
      <c r="E201" s="6">
        <v>0.39</v>
      </c>
      <c r="F201" s="7">
        <v>28.3</v>
      </c>
      <c r="G201" s="6">
        <v>0.26</v>
      </c>
      <c r="H201" s="8">
        <v>0.092</v>
      </c>
      <c r="I201" s="8">
        <v>0.01303672452</v>
      </c>
      <c r="J201" s="9">
        <v>6.0</v>
      </c>
      <c r="K201" s="29" t="str">
        <f t="shared" si="1"/>
        <v>SMB</v>
      </c>
      <c r="L201" s="30">
        <f t="shared" si="2"/>
        <v>7.358</v>
      </c>
      <c r="M201" s="31">
        <f>PERCENTRANK(B$2:B$201,B201)*'Input Resturant Brands Scoring '!$B$3</f>
        <v>0</v>
      </c>
      <c r="N201" s="32">
        <f>(1-PERCENTRANK(J$2:J$201,J201))*'Input Resturant Brands Scoring '!$B$5</f>
        <v>14.022</v>
      </c>
      <c r="O201" s="31">
        <f>(1-PERCENTRANK(I$2:I$201,I201))*'Input Resturant Brands Scoring '!$B$6</f>
        <v>10.86</v>
      </c>
      <c r="P201" s="31">
        <f t="shared" si="3"/>
        <v>24.882</v>
      </c>
      <c r="Q201" s="31">
        <f>PERCENTRANK(L$2:L$201,L201)*'Input Resturant Brands Scoring '!$B$7</f>
        <v>30.415</v>
      </c>
      <c r="R201" s="31">
        <f t="shared" si="4"/>
        <v>55.297</v>
      </c>
      <c r="S201" s="12">
        <f t="shared" si="5"/>
        <v>74</v>
      </c>
      <c r="T201" s="12" t="str">
        <f t="shared" si="13"/>
        <v>B</v>
      </c>
      <c r="U201" s="33">
        <f t="shared" si="7"/>
        <v>19071.936</v>
      </c>
      <c r="V201" s="13">
        <f t="shared" si="8"/>
        <v>0.28</v>
      </c>
      <c r="W201" s="34">
        <f t="shared" si="9"/>
        <v>0.02</v>
      </c>
      <c r="X201" s="4">
        <f>IF(T201="S", B201*(1+'Input Fee and Elasticity Inputs'!$B$9), IF(T201="A", B201*(1+'Input Fee and Elasticity Inputs'!$B$10), IF(T201="B", B201*(1+'Input Fee and Elasticity Inputs'!$B$11), B201*(1+'Input Fee and Elasticity Inputs'!$B$12))))</f>
        <v>2462.4</v>
      </c>
      <c r="Y201" s="33">
        <f t="shared" si="10"/>
        <v>7.924</v>
      </c>
      <c r="Z201" s="33">
        <f t="shared" si="11"/>
        <v>19512.0576</v>
      </c>
      <c r="AA201" s="33">
        <f t="shared" si="12"/>
        <v>440.1216</v>
      </c>
    </row>
  </sheetData>
  <autoFilter ref="$A$1:$AA$20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3" width="14.38"/>
    <col customWidth="1" min="4" max="4" width="13.38"/>
    <col customWidth="1" min="5" max="6" width="14.25"/>
    <col customWidth="1" min="7" max="7" width="16.75"/>
    <col customWidth="1" min="8" max="8" width="26.75"/>
    <col customWidth="1" min="9" max="9" width="16.25"/>
    <col customWidth="1" min="10" max="10" width="23.75"/>
  </cols>
  <sheetData>
    <row r="1">
      <c r="A1" s="1" t="str">
        <f t="array" ref="A1:J201">'RAW Restaurant Brands Dataset'!A:J</f>
        <v>Brand Name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1" t="s">
        <v>295</v>
      </c>
      <c r="L1" s="14" t="s">
        <v>296</v>
      </c>
      <c r="M1" s="14" t="s">
        <v>297</v>
      </c>
      <c r="N1" s="11" t="s">
        <v>298</v>
      </c>
    </row>
    <row r="2">
      <c r="A2" s="3" t="s">
        <v>10</v>
      </c>
      <c r="B2" s="4">
        <v>1068012.0</v>
      </c>
      <c r="C2" s="5">
        <v>482.0</v>
      </c>
      <c r="D2" s="5">
        <v>753.0</v>
      </c>
      <c r="E2" s="6">
        <v>0.69</v>
      </c>
      <c r="F2" s="7">
        <v>16.8</v>
      </c>
      <c r="G2" s="6">
        <v>0.25</v>
      </c>
      <c r="H2" s="8">
        <v>0.0468</v>
      </c>
      <c r="I2" s="8">
        <v>0.028940038949999997</v>
      </c>
      <c r="J2" s="9">
        <v>7.0</v>
      </c>
      <c r="K2" s="30">
        <f t="shared" ref="K2:K201" si="1">B2*F2*G2</f>
        <v>4485650.4</v>
      </c>
      <c r="L2" s="36">
        <f t="shared" ref="L2:L201" si="2">B2/sum($B$2:$B1000)</f>
        <v>0.07326361021</v>
      </c>
      <c r="M2" s="13">
        <f>L2</f>
        <v>0.07326361021</v>
      </c>
      <c r="N2" s="37"/>
      <c r="O2" s="11">
        <v>1.0</v>
      </c>
    </row>
    <row r="3">
      <c r="A3" s="3" t="s">
        <v>11</v>
      </c>
      <c r="B3" s="4">
        <v>1018080.0</v>
      </c>
      <c r="C3" s="5">
        <v>556.0</v>
      </c>
      <c r="D3" s="5">
        <v>783.0</v>
      </c>
      <c r="E3" s="6">
        <v>0.96</v>
      </c>
      <c r="F3" s="7">
        <v>18.5</v>
      </c>
      <c r="G3" s="6">
        <v>0.17</v>
      </c>
      <c r="H3" s="8">
        <v>0.0652</v>
      </c>
      <c r="I3" s="8">
        <v>0.027053131565999998</v>
      </c>
      <c r="J3" s="9">
        <v>4.0</v>
      </c>
      <c r="K3" s="30">
        <f t="shared" si="1"/>
        <v>3201861.6</v>
      </c>
      <c r="L3" s="13">
        <f t="shared" si="2"/>
        <v>0.06983836912</v>
      </c>
      <c r="M3" s="13">
        <f t="shared" ref="M3:M201" si="3">M2+L3</f>
        <v>0.1431019793</v>
      </c>
      <c r="N3" s="37"/>
      <c r="O3" s="11">
        <v>2.0</v>
      </c>
    </row>
    <row r="4">
      <c r="A4" s="3" t="s">
        <v>12</v>
      </c>
      <c r="B4" s="4">
        <v>775008.0</v>
      </c>
      <c r="C4" s="5">
        <v>388.0</v>
      </c>
      <c r="D4" s="5">
        <v>668.0</v>
      </c>
      <c r="E4" s="6">
        <v>0.23</v>
      </c>
      <c r="F4" s="7">
        <v>22.4</v>
      </c>
      <c r="G4" s="6">
        <v>0.3</v>
      </c>
      <c r="H4" s="8">
        <v>0.0736</v>
      </c>
      <c r="I4" s="8">
        <v>0.029747821626</v>
      </c>
      <c r="J4" s="9">
        <v>45.0</v>
      </c>
      <c r="K4" s="30">
        <f t="shared" si="1"/>
        <v>5208053.76</v>
      </c>
      <c r="L4" s="13">
        <f t="shared" si="2"/>
        <v>0.05316408806</v>
      </c>
      <c r="M4" s="13">
        <f t="shared" si="3"/>
        <v>0.1962660674</v>
      </c>
      <c r="N4" s="37"/>
      <c r="O4" s="12">
        <f t="shared" ref="O4:O57" si="4">O3+1</f>
        <v>3</v>
      </c>
    </row>
    <row r="5">
      <c r="A5" s="3" t="s">
        <v>13</v>
      </c>
      <c r="B5" s="4">
        <v>264384.0</v>
      </c>
      <c r="C5" s="5">
        <v>299.0</v>
      </c>
      <c r="D5" s="5">
        <v>320.0</v>
      </c>
      <c r="E5" s="6">
        <v>0.56</v>
      </c>
      <c r="F5" s="35">
        <v>26.0</v>
      </c>
      <c r="G5" s="6">
        <v>0.28</v>
      </c>
      <c r="H5" s="8">
        <v>0.048</v>
      </c>
      <c r="I5" s="8">
        <v>0.029179747818</v>
      </c>
      <c r="J5" s="9">
        <v>21.0</v>
      </c>
      <c r="K5" s="30">
        <f t="shared" si="1"/>
        <v>1924715.52</v>
      </c>
      <c r="L5" s="13">
        <f t="shared" si="2"/>
        <v>0.01813624409</v>
      </c>
      <c r="M5" s="13">
        <f t="shared" si="3"/>
        <v>0.2144023115</v>
      </c>
      <c r="N5" s="37"/>
      <c r="O5" s="12">
        <f t="shared" si="4"/>
        <v>4</v>
      </c>
    </row>
    <row r="6">
      <c r="A6" s="3" t="s">
        <v>14</v>
      </c>
      <c r="B6" s="4">
        <v>238560.0</v>
      </c>
      <c r="C6" s="5">
        <v>82.0</v>
      </c>
      <c r="D6" s="5">
        <v>191.0</v>
      </c>
      <c r="E6" s="6">
        <v>0.22</v>
      </c>
      <c r="F6" s="7">
        <v>21.7</v>
      </c>
      <c r="G6" s="6">
        <v>0.25</v>
      </c>
      <c r="H6" s="8">
        <v>0.0452</v>
      </c>
      <c r="I6" s="8">
        <v>0.017983438116</v>
      </c>
      <c r="J6" s="9">
        <v>5.0</v>
      </c>
      <c r="K6" s="30">
        <f t="shared" si="1"/>
        <v>1294188</v>
      </c>
      <c r="L6" s="13">
        <f t="shared" si="2"/>
        <v>0.01636476636</v>
      </c>
      <c r="M6" s="13">
        <f t="shared" si="3"/>
        <v>0.2307670778</v>
      </c>
      <c r="N6" s="37"/>
      <c r="O6" s="12">
        <f t="shared" si="4"/>
        <v>5</v>
      </c>
    </row>
    <row r="7">
      <c r="A7" s="3" t="s">
        <v>15</v>
      </c>
      <c r="B7" s="4">
        <v>226872.0</v>
      </c>
      <c r="C7" s="5">
        <v>53.0</v>
      </c>
      <c r="D7" s="5">
        <v>58.0</v>
      </c>
      <c r="E7" s="6">
        <v>0.76</v>
      </c>
      <c r="F7" s="7">
        <v>16.6</v>
      </c>
      <c r="G7" s="6">
        <v>0.26</v>
      </c>
      <c r="H7" s="8">
        <v>0.0412</v>
      </c>
      <c r="I7" s="8">
        <v>0.016135534386</v>
      </c>
      <c r="J7" s="9">
        <v>5.0</v>
      </c>
      <c r="K7" s="30">
        <f t="shared" si="1"/>
        <v>979179.552</v>
      </c>
      <c r="L7" s="13">
        <f t="shared" si="2"/>
        <v>0.01556299159</v>
      </c>
      <c r="M7" s="13">
        <f t="shared" si="3"/>
        <v>0.2463300694</v>
      </c>
      <c r="N7" s="37"/>
      <c r="O7" s="12">
        <f t="shared" si="4"/>
        <v>6</v>
      </c>
    </row>
    <row r="8">
      <c r="A8" s="3" t="s">
        <v>16</v>
      </c>
      <c r="B8" s="4">
        <v>224136.0</v>
      </c>
      <c r="C8" s="5">
        <v>42.0</v>
      </c>
      <c r="D8" s="5">
        <v>86.0</v>
      </c>
      <c r="E8" s="6">
        <v>0.27</v>
      </c>
      <c r="F8" s="7">
        <v>16.0</v>
      </c>
      <c r="G8" s="6">
        <v>0.3</v>
      </c>
      <c r="H8" s="8">
        <v>0.07</v>
      </c>
      <c r="I8" s="8">
        <v>0.01671272658</v>
      </c>
      <c r="J8" s="9">
        <v>14.0</v>
      </c>
      <c r="K8" s="30">
        <f t="shared" si="1"/>
        <v>1075852.8</v>
      </c>
      <c r="L8" s="13">
        <f t="shared" si="2"/>
        <v>0.01537530715</v>
      </c>
      <c r="M8" s="13">
        <f t="shared" si="3"/>
        <v>0.2617053766</v>
      </c>
      <c r="N8" s="37"/>
      <c r="O8" s="12">
        <f t="shared" si="4"/>
        <v>7</v>
      </c>
    </row>
    <row r="9">
      <c r="A9" s="3" t="s">
        <v>17</v>
      </c>
      <c r="B9" s="4">
        <v>221760.0</v>
      </c>
      <c r="C9" s="5">
        <v>72.0</v>
      </c>
      <c r="D9" s="5">
        <v>300.0</v>
      </c>
      <c r="E9" s="6">
        <v>0.37</v>
      </c>
      <c r="F9" s="7">
        <v>15.1</v>
      </c>
      <c r="G9" s="6">
        <v>0.24</v>
      </c>
      <c r="H9" s="8">
        <v>0.0604</v>
      </c>
      <c r="I9" s="8">
        <v>0.014803598087999999</v>
      </c>
      <c r="J9" s="9">
        <v>28.0</v>
      </c>
      <c r="K9" s="30">
        <f t="shared" si="1"/>
        <v>803658.24</v>
      </c>
      <c r="L9" s="13">
        <f t="shared" si="2"/>
        <v>0.01521231803</v>
      </c>
      <c r="M9" s="13">
        <f t="shared" si="3"/>
        <v>0.2769176946</v>
      </c>
      <c r="N9" s="37"/>
      <c r="O9" s="12">
        <f t="shared" si="4"/>
        <v>8</v>
      </c>
    </row>
    <row r="10">
      <c r="A10" s="3" t="s">
        <v>18</v>
      </c>
      <c r="B10" s="4">
        <v>216372.0</v>
      </c>
      <c r="C10" s="5">
        <v>93.0</v>
      </c>
      <c r="D10" s="5">
        <v>930.0</v>
      </c>
      <c r="E10" s="6">
        <v>0.55</v>
      </c>
      <c r="F10" s="7">
        <v>19.8</v>
      </c>
      <c r="G10" s="6">
        <v>0.26</v>
      </c>
      <c r="H10" s="8">
        <v>0.0892</v>
      </c>
      <c r="I10" s="8">
        <v>0.014041634688</v>
      </c>
      <c r="J10" s="9">
        <v>13.0</v>
      </c>
      <c r="K10" s="30">
        <f t="shared" si="1"/>
        <v>1113883.056</v>
      </c>
      <c r="L10" s="13">
        <f t="shared" si="2"/>
        <v>0.01484271138</v>
      </c>
      <c r="M10" s="13">
        <f t="shared" si="3"/>
        <v>0.291760406</v>
      </c>
      <c r="N10" s="37"/>
      <c r="O10" s="12">
        <f t="shared" si="4"/>
        <v>9</v>
      </c>
    </row>
    <row r="11">
      <c r="A11" s="3" t="s">
        <v>19</v>
      </c>
      <c r="B11" s="4">
        <v>215280.0</v>
      </c>
      <c r="C11" s="5">
        <v>41.0</v>
      </c>
      <c r="D11" s="5">
        <v>216.0</v>
      </c>
      <c r="E11" s="6">
        <v>0.93</v>
      </c>
      <c r="F11" s="7">
        <v>17.4</v>
      </c>
      <c r="G11" s="6">
        <v>0.25</v>
      </c>
      <c r="H11" s="8">
        <v>0.0756</v>
      </c>
      <c r="I11" s="8">
        <v>0.01434146691</v>
      </c>
      <c r="J11" s="9">
        <v>37.0</v>
      </c>
      <c r="K11" s="30">
        <f t="shared" si="1"/>
        <v>936468</v>
      </c>
      <c r="L11" s="13">
        <f t="shared" si="2"/>
        <v>0.01476780224</v>
      </c>
      <c r="M11" s="13">
        <f t="shared" si="3"/>
        <v>0.3065282082</v>
      </c>
      <c r="N11" s="37"/>
      <c r="O11" s="12">
        <f t="shared" si="4"/>
        <v>10</v>
      </c>
    </row>
    <row r="12">
      <c r="A12" s="3" t="s">
        <v>20</v>
      </c>
      <c r="B12" s="4">
        <v>211200.0</v>
      </c>
      <c r="C12" s="5">
        <v>38.0</v>
      </c>
      <c r="D12" s="5">
        <v>46.0</v>
      </c>
      <c r="E12" s="6">
        <v>0.68</v>
      </c>
      <c r="F12" s="7">
        <v>21.4</v>
      </c>
      <c r="G12" s="6">
        <v>0.24</v>
      </c>
      <c r="H12" s="8">
        <v>0.0336</v>
      </c>
      <c r="I12" s="8">
        <v>0.013798988556</v>
      </c>
      <c r="J12" s="9">
        <v>3.0</v>
      </c>
      <c r="K12" s="30">
        <f t="shared" si="1"/>
        <v>1084723.2</v>
      </c>
      <c r="L12" s="13">
        <f t="shared" si="2"/>
        <v>0.01448792193</v>
      </c>
      <c r="M12" s="13">
        <f t="shared" si="3"/>
        <v>0.3210161302</v>
      </c>
      <c r="N12" s="37"/>
      <c r="O12" s="12">
        <f t="shared" si="4"/>
        <v>11</v>
      </c>
    </row>
    <row r="13">
      <c r="A13" s="3" t="s">
        <v>21</v>
      </c>
      <c r="B13" s="4">
        <v>209760.0</v>
      </c>
      <c r="C13" s="5">
        <v>98.0</v>
      </c>
      <c r="D13" s="5">
        <v>184.0</v>
      </c>
      <c r="E13" s="6">
        <v>0.59</v>
      </c>
      <c r="F13" s="7">
        <v>25.4</v>
      </c>
      <c r="G13" s="6">
        <v>0.3</v>
      </c>
      <c r="H13" s="8">
        <v>0.0868</v>
      </c>
      <c r="I13" s="8">
        <v>0.031642305042</v>
      </c>
      <c r="J13" s="9">
        <v>34.0</v>
      </c>
      <c r="K13" s="30">
        <f t="shared" si="1"/>
        <v>1598371.2</v>
      </c>
      <c r="L13" s="13">
        <f t="shared" si="2"/>
        <v>0.01438914064</v>
      </c>
      <c r="M13" s="13">
        <f t="shared" si="3"/>
        <v>0.3354052708</v>
      </c>
      <c r="N13" s="37"/>
      <c r="O13" s="12">
        <f t="shared" si="4"/>
        <v>12</v>
      </c>
    </row>
    <row r="14">
      <c r="A14" s="3" t="s">
        <v>22</v>
      </c>
      <c r="B14" s="4">
        <v>209088.0</v>
      </c>
      <c r="C14" s="5">
        <v>42.0</v>
      </c>
      <c r="D14" s="5">
        <v>86.0</v>
      </c>
      <c r="E14" s="6">
        <v>0.99</v>
      </c>
      <c r="F14" s="7">
        <v>20.6</v>
      </c>
      <c r="G14" s="6">
        <v>0.29</v>
      </c>
      <c r="H14" s="8">
        <v>0.0368</v>
      </c>
      <c r="I14" s="8">
        <v>0.034377075756</v>
      </c>
      <c r="J14" s="9">
        <v>10.0</v>
      </c>
      <c r="K14" s="30">
        <f t="shared" si="1"/>
        <v>1249091.712</v>
      </c>
      <c r="L14" s="13">
        <f t="shared" si="2"/>
        <v>0.01434304271</v>
      </c>
      <c r="M14" s="13">
        <f t="shared" si="3"/>
        <v>0.3497483135</v>
      </c>
      <c r="N14" s="37"/>
      <c r="O14" s="12">
        <f t="shared" si="4"/>
        <v>13</v>
      </c>
    </row>
    <row r="15">
      <c r="A15" s="3" t="s">
        <v>23</v>
      </c>
      <c r="B15" s="4">
        <v>209040.0</v>
      </c>
      <c r="C15" s="5">
        <v>41.0</v>
      </c>
      <c r="D15" s="5">
        <v>103.0</v>
      </c>
      <c r="E15" s="6">
        <v>0.28</v>
      </c>
      <c r="F15" s="7">
        <v>34.4</v>
      </c>
      <c r="G15" s="6">
        <v>0.25</v>
      </c>
      <c r="H15" s="8">
        <v>0.1328</v>
      </c>
      <c r="I15" s="8">
        <v>0.031960196466</v>
      </c>
      <c r="J15" s="9">
        <v>24.0</v>
      </c>
      <c r="K15" s="30">
        <f t="shared" si="1"/>
        <v>1797744</v>
      </c>
      <c r="L15" s="13">
        <f t="shared" si="2"/>
        <v>0.01433975</v>
      </c>
      <c r="M15" s="13">
        <f t="shared" si="3"/>
        <v>0.3640880635</v>
      </c>
      <c r="N15" s="37"/>
      <c r="O15" s="12">
        <f t="shared" si="4"/>
        <v>14</v>
      </c>
    </row>
    <row r="16">
      <c r="A16" s="3" t="s">
        <v>24</v>
      </c>
      <c r="B16" s="4">
        <v>183120.0</v>
      </c>
      <c r="C16" s="5">
        <v>65.0</v>
      </c>
      <c r="D16" s="5">
        <v>73.0</v>
      </c>
      <c r="E16" s="6">
        <v>0.46</v>
      </c>
      <c r="F16" s="7">
        <v>20.2</v>
      </c>
      <c r="G16" s="6">
        <v>0.27</v>
      </c>
      <c r="H16" s="8">
        <v>0.0912</v>
      </c>
      <c r="I16" s="8">
        <v>0.032994187794</v>
      </c>
      <c r="J16" s="9">
        <v>20.0</v>
      </c>
      <c r="K16" s="30">
        <f t="shared" si="1"/>
        <v>998736.48</v>
      </c>
      <c r="L16" s="13">
        <f t="shared" si="2"/>
        <v>0.01256168686</v>
      </c>
      <c r="M16" s="13">
        <f t="shared" si="3"/>
        <v>0.3766497504</v>
      </c>
      <c r="N16" s="37"/>
      <c r="O16" s="12">
        <f t="shared" si="4"/>
        <v>15</v>
      </c>
    </row>
    <row r="17">
      <c r="A17" s="3" t="s">
        <v>25</v>
      </c>
      <c r="B17" s="4">
        <v>173052.0</v>
      </c>
      <c r="C17" s="5">
        <v>51.0</v>
      </c>
      <c r="D17" s="5">
        <v>204.0</v>
      </c>
      <c r="E17" s="6">
        <v>0.84</v>
      </c>
      <c r="F17" s="7">
        <v>13.7</v>
      </c>
      <c r="G17" s="6">
        <v>0.3</v>
      </c>
      <c r="H17" s="8">
        <v>0.0692</v>
      </c>
      <c r="I17" s="8">
        <v>0.014296290474</v>
      </c>
      <c r="J17" s="9">
        <v>18.0</v>
      </c>
      <c r="K17" s="30">
        <f t="shared" si="1"/>
        <v>711243.72</v>
      </c>
      <c r="L17" s="13">
        <f t="shared" si="2"/>
        <v>0.01187104103</v>
      </c>
      <c r="M17" s="13">
        <f t="shared" si="3"/>
        <v>0.3885207914</v>
      </c>
      <c r="N17" s="37"/>
      <c r="O17" s="12">
        <f t="shared" si="4"/>
        <v>16</v>
      </c>
    </row>
    <row r="18">
      <c r="A18" s="3" t="s">
        <v>26</v>
      </c>
      <c r="B18" s="4">
        <v>170448.0</v>
      </c>
      <c r="C18" s="5">
        <v>43.0</v>
      </c>
      <c r="D18" s="5">
        <v>74.0</v>
      </c>
      <c r="E18" s="6">
        <v>0.49</v>
      </c>
      <c r="F18" s="7">
        <v>21.6</v>
      </c>
      <c r="G18" s="6">
        <v>0.3</v>
      </c>
      <c r="H18" s="8">
        <v>0.09</v>
      </c>
      <c r="I18" s="8">
        <v>0.023684085233999997</v>
      </c>
      <c r="J18" s="9">
        <v>25.0</v>
      </c>
      <c r="K18" s="30">
        <f t="shared" si="1"/>
        <v>1104503.04</v>
      </c>
      <c r="L18" s="13">
        <f t="shared" si="2"/>
        <v>0.01169241154</v>
      </c>
      <c r="M18" s="13">
        <f t="shared" si="3"/>
        <v>0.4002132029</v>
      </c>
      <c r="N18" s="37"/>
      <c r="O18" s="12">
        <f t="shared" si="4"/>
        <v>17</v>
      </c>
    </row>
    <row r="19">
      <c r="A19" s="3" t="s">
        <v>27</v>
      </c>
      <c r="B19" s="4">
        <v>165396.0</v>
      </c>
      <c r="C19" s="5">
        <v>143.0</v>
      </c>
      <c r="D19" s="5">
        <v>318.0</v>
      </c>
      <c r="E19" s="6">
        <v>0.56</v>
      </c>
      <c r="F19" s="7">
        <v>21.7</v>
      </c>
      <c r="G19" s="6">
        <v>0.3</v>
      </c>
      <c r="H19" s="8">
        <v>0.0512</v>
      </c>
      <c r="I19" s="8">
        <v>0.024804924635999998</v>
      </c>
      <c r="J19" s="9">
        <v>17.0</v>
      </c>
      <c r="K19" s="30">
        <f t="shared" si="1"/>
        <v>1076727.96</v>
      </c>
      <c r="L19" s="13">
        <f t="shared" si="2"/>
        <v>0.01134585386</v>
      </c>
      <c r="M19" s="13">
        <f t="shared" si="3"/>
        <v>0.4115590568</v>
      </c>
      <c r="N19" s="37"/>
      <c r="O19" s="12">
        <f t="shared" si="4"/>
        <v>18</v>
      </c>
    </row>
    <row r="20">
      <c r="A20" s="3" t="s">
        <v>28</v>
      </c>
      <c r="B20" s="4">
        <v>161568.0</v>
      </c>
      <c r="C20" s="5">
        <v>90.0</v>
      </c>
      <c r="D20" s="5">
        <v>126.0</v>
      </c>
      <c r="E20" s="6">
        <v>0.35</v>
      </c>
      <c r="F20" s="7">
        <v>22.1</v>
      </c>
      <c r="G20" s="6">
        <v>0.23</v>
      </c>
      <c r="H20" s="8">
        <v>0.0864</v>
      </c>
      <c r="I20" s="8">
        <v>0.023886064002</v>
      </c>
      <c r="J20" s="9">
        <v>5.0</v>
      </c>
      <c r="K20" s="30">
        <f t="shared" si="1"/>
        <v>821250.144</v>
      </c>
      <c r="L20" s="13">
        <f t="shared" si="2"/>
        <v>0.01108326028</v>
      </c>
      <c r="M20" s="13">
        <f t="shared" si="3"/>
        <v>0.4226423171</v>
      </c>
      <c r="N20" s="37"/>
      <c r="O20" s="12">
        <f t="shared" si="4"/>
        <v>19</v>
      </c>
    </row>
    <row r="21">
      <c r="A21" s="3" t="s">
        <v>29</v>
      </c>
      <c r="B21" s="4">
        <v>155220.0</v>
      </c>
      <c r="C21" s="5">
        <v>40.0</v>
      </c>
      <c r="D21" s="5">
        <v>80.0</v>
      </c>
      <c r="E21" s="6">
        <v>0.95</v>
      </c>
      <c r="F21" s="7">
        <v>17.9</v>
      </c>
      <c r="G21" s="6">
        <v>0.26</v>
      </c>
      <c r="H21" s="8">
        <v>0.0312</v>
      </c>
      <c r="I21" s="8">
        <v>0.022966624692</v>
      </c>
      <c r="J21" s="9">
        <v>6.0</v>
      </c>
      <c r="K21" s="30">
        <f t="shared" si="1"/>
        <v>722393.88</v>
      </c>
      <c r="L21" s="13">
        <f t="shared" si="2"/>
        <v>0.01064779944</v>
      </c>
      <c r="M21" s="13">
        <f t="shared" si="3"/>
        <v>0.4332901165</v>
      </c>
      <c r="N21" s="37"/>
      <c r="O21" s="12">
        <f t="shared" si="4"/>
        <v>20</v>
      </c>
    </row>
    <row r="22">
      <c r="A22" s="3" t="s">
        <v>30</v>
      </c>
      <c r="B22" s="4">
        <v>149760.0</v>
      </c>
      <c r="C22" s="5">
        <v>37.0</v>
      </c>
      <c r="D22" s="5">
        <v>58.0</v>
      </c>
      <c r="E22" s="6">
        <v>0.28</v>
      </c>
      <c r="F22" s="7">
        <v>22.0</v>
      </c>
      <c r="G22" s="6">
        <v>0.3</v>
      </c>
      <c r="H22" s="8">
        <v>0.0836</v>
      </c>
      <c r="I22" s="8">
        <v>0.021695328684</v>
      </c>
      <c r="J22" s="9">
        <v>9.0</v>
      </c>
      <c r="K22" s="30">
        <f t="shared" si="1"/>
        <v>988416</v>
      </c>
      <c r="L22" s="13">
        <f t="shared" si="2"/>
        <v>0.01027325373</v>
      </c>
      <c r="M22" s="13">
        <f t="shared" si="3"/>
        <v>0.4435633703</v>
      </c>
      <c r="N22" s="37"/>
      <c r="O22" s="12">
        <f t="shared" si="4"/>
        <v>21</v>
      </c>
    </row>
    <row r="23">
      <c r="A23" s="3" t="s">
        <v>31</v>
      </c>
      <c r="B23" s="4">
        <v>148800.0</v>
      </c>
      <c r="C23" s="5">
        <v>190.0</v>
      </c>
      <c r="D23" s="5">
        <v>1188.0</v>
      </c>
      <c r="E23" s="6">
        <v>0.4</v>
      </c>
      <c r="F23" s="7">
        <v>19.8</v>
      </c>
      <c r="G23" s="6">
        <v>0.26</v>
      </c>
      <c r="H23" s="8">
        <v>0.0456</v>
      </c>
      <c r="I23" s="8">
        <v>0.022888125528</v>
      </c>
      <c r="J23" s="9">
        <v>8.0</v>
      </c>
      <c r="K23" s="30">
        <f t="shared" si="1"/>
        <v>766022.4</v>
      </c>
      <c r="L23" s="13">
        <f t="shared" si="2"/>
        <v>0.01020739954</v>
      </c>
      <c r="M23" s="13">
        <f t="shared" si="3"/>
        <v>0.4537707698</v>
      </c>
      <c r="N23" s="37"/>
      <c r="O23" s="12">
        <f t="shared" si="4"/>
        <v>22</v>
      </c>
    </row>
    <row r="24">
      <c r="A24" s="3" t="s">
        <v>32</v>
      </c>
      <c r="B24" s="4">
        <v>145392.0</v>
      </c>
      <c r="C24" s="5">
        <v>27.0</v>
      </c>
      <c r="D24" s="5">
        <v>34.0</v>
      </c>
      <c r="E24" s="6">
        <v>0.34</v>
      </c>
      <c r="F24" s="7">
        <v>26.4</v>
      </c>
      <c r="G24" s="6">
        <v>0.26</v>
      </c>
      <c r="H24" s="8">
        <v>0.0848</v>
      </c>
      <c r="I24" s="8">
        <v>0.023045459118</v>
      </c>
      <c r="J24" s="9">
        <v>9.0</v>
      </c>
      <c r="K24" s="30">
        <f t="shared" si="1"/>
        <v>997970.688</v>
      </c>
      <c r="L24" s="13">
        <f t="shared" si="2"/>
        <v>0.009973617165</v>
      </c>
      <c r="M24" s="13">
        <f t="shared" si="3"/>
        <v>0.463744387</v>
      </c>
      <c r="N24" s="37"/>
      <c r="O24" s="12">
        <f t="shared" si="4"/>
        <v>23</v>
      </c>
    </row>
    <row r="25">
      <c r="A25" s="3" t="s">
        <v>33</v>
      </c>
      <c r="B25" s="4">
        <v>138528.0</v>
      </c>
      <c r="C25" s="5">
        <v>27.0</v>
      </c>
      <c r="D25" s="5">
        <v>38.0</v>
      </c>
      <c r="E25" s="6">
        <v>0.47</v>
      </c>
      <c r="F25" s="7">
        <v>16.2</v>
      </c>
      <c r="G25" s="6">
        <v>0.22</v>
      </c>
      <c r="H25" s="8">
        <v>0.0832</v>
      </c>
      <c r="I25" s="8">
        <v>0.022515171078</v>
      </c>
      <c r="J25" s="9">
        <v>5.0</v>
      </c>
      <c r="K25" s="30">
        <f t="shared" si="1"/>
        <v>493713.792</v>
      </c>
      <c r="L25" s="13">
        <f t="shared" si="2"/>
        <v>0.009502759702</v>
      </c>
      <c r="M25" s="13">
        <f t="shared" si="3"/>
        <v>0.4732471467</v>
      </c>
      <c r="N25" s="37"/>
      <c r="O25" s="12">
        <f t="shared" si="4"/>
        <v>24</v>
      </c>
    </row>
    <row r="26">
      <c r="A26" s="3" t="s">
        <v>34</v>
      </c>
      <c r="B26" s="4">
        <v>134400.0</v>
      </c>
      <c r="C26" s="5">
        <v>19.0</v>
      </c>
      <c r="D26" s="5">
        <v>51.0</v>
      </c>
      <c r="E26" s="6">
        <v>0.59</v>
      </c>
      <c r="F26" s="7">
        <v>18.0</v>
      </c>
      <c r="G26" s="6">
        <v>0.3</v>
      </c>
      <c r="H26" s="8">
        <v>0.086</v>
      </c>
      <c r="I26" s="8">
        <v>0.032553005784</v>
      </c>
      <c r="J26" s="9">
        <v>55.0</v>
      </c>
      <c r="K26" s="30">
        <f t="shared" si="1"/>
        <v>725760</v>
      </c>
      <c r="L26" s="13">
        <f t="shared" si="2"/>
        <v>0.009219586683</v>
      </c>
      <c r="M26" s="13">
        <f t="shared" si="3"/>
        <v>0.4824667333</v>
      </c>
      <c r="N26" s="37"/>
      <c r="O26" s="12">
        <f t="shared" si="4"/>
        <v>25</v>
      </c>
    </row>
    <row r="27">
      <c r="A27" s="3" t="s">
        <v>35</v>
      </c>
      <c r="B27" s="4">
        <v>132432.0</v>
      </c>
      <c r="C27" s="5">
        <v>33.0</v>
      </c>
      <c r="D27" s="5">
        <v>79.0</v>
      </c>
      <c r="E27" s="6">
        <v>0.76</v>
      </c>
      <c r="F27" s="7">
        <v>16.4</v>
      </c>
      <c r="G27" s="6">
        <v>0.24</v>
      </c>
      <c r="H27" s="8">
        <v>0.0908</v>
      </c>
      <c r="I27" s="8">
        <v>0.032513974662</v>
      </c>
      <c r="J27" s="9">
        <v>3.0</v>
      </c>
      <c r="K27" s="30">
        <f t="shared" si="1"/>
        <v>521252.352</v>
      </c>
      <c r="L27" s="13">
        <f t="shared" si="2"/>
        <v>0.009084585592</v>
      </c>
      <c r="M27" s="13">
        <f t="shared" si="3"/>
        <v>0.4915513189</v>
      </c>
      <c r="N27" s="37"/>
      <c r="O27" s="12">
        <f t="shared" si="4"/>
        <v>26</v>
      </c>
    </row>
    <row r="28">
      <c r="A28" s="3" t="s">
        <v>36</v>
      </c>
      <c r="B28" s="4">
        <v>130464.0</v>
      </c>
      <c r="C28" s="5">
        <v>86.0</v>
      </c>
      <c r="D28" s="5">
        <v>112.0</v>
      </c>
      <c r="E28" s="6">
        <v>0.14</v>
      </c>
      <c r="F28" s="7">
        <v>19.1</v>
      </c>
      <c r="G28" s="6">
        <v>0.3</v>
      </c>
      <c r="H28" s="8">
        <v>0.0448</v>
      </c>
      <c r="I28" s="8">
        <v>0.033518878775999995</v>
      </c>
      <c r="J28" s="9">
        <v>14.0</v>
      </c>
      <c r="K28" s="30">
        <f t="shared" si="1"/>
        <v>747558.72</v>
      </c>
      <c r="L28" s="13">
        <f t="shared" si="2"/>
        <v>0.008949584501</v>
      </c>
      <c r="M28" s="13">
        <f t="shared" si="3"/>
        <v>0.5005009034</v>
      </c>
      <c r="N28" s="37"/>
      <c r="O28" s="12">
        <f t="shared" si="4"/>
        <v>27</v>
      </c>
    </row>
    <row r="29">
      <c r="A29" s="3" t="s">
        <v>37</v>
      </c>
      <c r="B29" s="4">
        <v>128640.0</v>
      </c>
      <c r="C29" s="5">
        <v>19.0</v>
      </c>
      <c r="D29" s="5">
        <v>41.0</v>
      </c>
      <c r="E29" s="6">
        <v>0.16</v>
      </c>
      <c r="F29" s="7">
        <v>18.4</v>
      </c>
      <c r="G29" s="6">
        <v>0.24</v>
      </c>
      <c r="H29" s="8">
        <v>0.0552</v>
      </c>
      <c r="I29" s="8">
        <v>0.021084184061999998</v>
      </c>
      <c r="J29" s="9">
        <v>7.0</v>
      </c>
      <c r="K29" s="30">
        <f t="shared" si="1"/>
        <v>568074.24</v>
      </c>
      <c r="L29" s="13">
        <f t="shared" si="2"/>
        <v>0.008824461539</v>
      </c>
      <c r="M29" s="13">
        <f t="shared" si="3"/>
        <v>0.509325365</v>
      </c>
      <c r="N29" s="37"/>
      <c r="O29" s="12">
        <f t="shared" si="4"/>
        <v>28</v>
      </c>
    </row>
    <row r="30">
      <c r="A30" s="3" t="s">
        <v>38</v>
      </c>
      <c r="B30" s="4">
        <v>123000.0</v>
      </c>
      <c r="C30" s="5">
        <v>22.0</v>
      </c>
      <c r="D30" s="5">
        <v>26.0</v>
      </c>
      <c r="E30" s="6">
        <v>0.8</v>
      </c>
      <c r="F30" s="7">
        <v>16.0</v>
      </c>
      <c r="G30" s="6">
        <v>0.3</v>
      </c>
      <c r="H30" s="8">
        <v>0.0864</v>
      </c>
      <c r="I30" s="8">
        <v>0.029173719629999997</v>
      </c>
      <c r="J30" s="9">
        <v>25.0</v>
      </c>
      <c r="K30" s="30">
        <f t="shared" si="1"/>
        <v>590400</v>
      </c>
      <c r="L30" s="13">
        <f t="shared" si="2"/>
        <v>0.008437568169</v>
      </c>
      <c r="M30" s="13">
        <f t="shared" si="3"/>
        <v>0.5177629331</v>
      </c>
      <c r="N30" s="37"/>
      <c r="O30" s="12">
        <f t="shared" si="4"/>
        <v>29</v>
      </c>
    </row>
    <row r="31">
      <c r="A31" s="3" t="s">
        <v>39</v>
      </c>
      <c r="B31" s="4">
        <v>121680.0</v>
      </c>
      <c r="C31" s="5">
        <v>19.0</v>
      </c>
      <c r="D31" s="5">
        <v>33.0</v>
      </c>
      <c r="E31" s="6">
        <v>1.0</v>
      </c>
      <c r="F31" s="7">
        <v>19.1</v>
      </c>
      <c r="G31" s="6">
        <v>0.26</v>
      </c>
      <c r="H31" s="8">
        <v>0.0324</v>
      </c>
      <c r="I31" s="8">
        <v>0.031311133704</v>
      </c>
      <c r="J31" s="9">
        <v>9.0</v>
      </c>
      <c r="K31" s="30">
        <f t="shared" si="1"/>
        <v>604262.88</v>
      </c>
      <c r="L31" s="13">
        <f t="shared" si="2"/>
        <v>0.008347018657</v>
      </c>
      <c r="M31" s="13">
        <f t="shared" si="3"/>
        <v>0.5261099518</v>
      </c>
      <c r="N31" s="37"/>
      <c r="O31" s="12">
        <f t="shared" si="4"/>
        <v>30</v>
      </c>
    </row>
    <row r="32">
      <c r="A32" s="3" t="s">
        <v>40</v>
      </c>
      <c r="B32" s="4">
        <v>121128.0</v>
      </c>
      <c r="C32" s="5">
        <v>22.0</v>
      </c>
      <c r="D32" s="5">
        <v>84.0</v>
      </c>
      <c r="E32" s="6">
        <v>0.9</v>
      </c>
      <c r="F32" s="7">
        <v>16.1</v>
      </c>
      <c r="G32" s="6">
        <v>0.3</v>
      </c>
      <c r="H32" s="8">
        <v>0.1008</v>
      </c>
      <c r="I32" s="8">
        <v>0.029824533198</v>
      </c>
      <c r="J32" s="9">
        <v>11.0</v>
      </c>
      <c r="K32" s="30">
        <f t="shared" si="1"/>
        <v>585048.24</v>
      </c>
      <c r="L32" s="13">
        <f t="shared" si="2"/>
        <v>0.008309152498</v>
      </c>
      <c r="M32" s="13">
        <f t="shared" si="3"/>
        <v>0.5344191043</v>
      </c>
      <c r="N32" s="37"/>
      <c r="O32" s="12">
        <f t="shared" si="4"/>
        <v>31</v>
      </c>
    </row>
    <row r="33">
      <c r="A33" s="3" t="s">
        <v>41</v>
      </c>
      <c r="B33" s="4">
        <v>120960.0</v>
      </c>
      <c r="C33" s="5">
        <v>21.0</v>
      </c>
      <c r="D33" s="5">
        <v>24.0</v>
      </c>
      <c r="E33" s="6">
        <v>0.06</v>
      </c>
      <c r="F33" s="7">
        <v>19.7</v>
      </c>
      <c r="G33" s="6">
        <v>0.3</v>
      </c>
      <c r="H33" s="8">
        <v>0.072</v>
      </c>
      <c r="I33" s="8">
        <v>0.011183486538</v>
      </c>
      <c r="J33" s="9">
        <v>94.0</v>
      </c>
      <c r="K33" s="30">
        <f t="shared" si="1"/>
        <v>714873.6</v>
      </c>
      <c r="L33" s="13">
        <f t="shared" si="2"/>
        <v>0.008297628014</v>
      </c>
      <c r="M33" s="13">
        <f t="shared" si="3"/>
        <v>0.5427167323</v>
      </c>
      <c r="N33" s="37"/>
      <c r="O33" s="12">
        <f t="shared" si="4"/>
        <v>32</v>
      </c>
    </row>
    <row r="34">
      <c r="A34" s="3" t="s">
        <v>42</v>
      </c>
      <c r="B34" s="4">
        <v>120684.0</v>
      </c>
      <c r="C34" s="5">
        <v>198.0</v>
      </c>
      <c r="D34" s="5">
        <v>276.0</v>
      </c>
      <c r="E34" s="6">
        <v>0.2</v>
      </c>
      <c r="F34" s="7">
        <v>22.2</v>
      </c>
      <c r="G34" s="6">
        <v>0.28</v>
      </c>
      <c r="H34" s="8">
        <v>0.0748</v>
      </c>
      <c r="I34" s="8">
        <v>0.03031432218</v>
      </c>
      <c r="J34" s="9">
        <v>50.0</v>
      </c>
      <c r="K34" s="30">
        <f t="shared" si="1"/>
        <v>750171.744</v>
      </c>
      <c r="L34" s="13">
        <f t="shared" si="2"/>
        <v>0.008278694935</v>
      </c>
      <c r="M34" s="13">
        <f t="shared" si="3"/>
        <v>0.5509954272</v>
      </c>
      <c r="N34" s="37"/>
      <c r="O34" s="12">
        <f t="shared" si="4"/>
        <v>33</v>
      </c>
    </row>
    <row r="35">
      <c r="A35" s="3" t="s">
        <v>43</v>
      </c>
      <c r="B35" s="4">
        <v>116280.0</v>
      </c>
      <c r="C35" s="5">
        <v>24.0</v>
      </c>
      <c r="D35" s="5">
        <v>31.0</v>
      </c>
      <c r="E35" s="6">
        <v>0.01</v>
      </c>
      <c r="F35" s="7">
        <v>26.7</v>
      </c>
      <c r="G35" s="6">
        <v>0.25</v>
      </c>
      <c r="H35" s="8">
        <v>0.07</v>
      </c>
      <c r="I35" s="8">
        <v>0.011679280217999998</v>
      </c>
      <c r="J35" s="9">
        <v>11.0</v>
      </c>
      <c r="K35" s="30">
        <f t="shared" si="1"/>
        <v>776169</v>
      </c>
      <c r="L35" s="13">
        <f t="shared" si="2"/>
        <v>0.007976588835</v>
      </c>
      <c r="M35" s="13">
        <f t="shared" si="3"/>
        <v>0.5589720161</v>
      </c>
      <c r="N35" s="37"/>
      <c r="O35" s="12">
        <f t="shared" si="4"/>
        <v>34</v>
      </c>
    </row>
    <row r="36">
      <c r="A36" s="3" t="s">
        <v>44</v>
      </c>
      <c r="B36" s="4">
        <v>112320.0</v>
      </c>
      <c r="C36" s="5">
        <v>30.0</v>
      </c>
      <c r="D36" s="5">
        <v>39.0</v>
      </c>
      <c r="E36" s="6">
        <v>0.31</v>
      </c>
      <c r="F36" s="7">
        <v>16.8</v>
      </c>
      <c r="G36" s="6">
        <v>0.24</v>
      </c>
      <c r="H36" s="8">
        <v>0.0624</v>
      </c>
      <c r="I36" s="8">
        <v>0.027053363556</v>
      </c>
      <c r="J36" s="9">
        <v>8.0</v>
      </c>
      <c r="K36" s="30">
        <f t="shared" si="1"/>
        <v>452874.24</v>
      </c>
      <c r="L36" s="13">
        <f t="shared" si="2"/>
        <v>0.007704940299</v>
      </c>
      <c r="M36" s="13">
        <f t="shared" si="3"/>
        <v>0.5666769564</v>
      </c>
      <c r="N36" s="37"/>
      <c r="O36" s="12">
        <f t="shared" si="4"/>
        <v>35</v>
      </c>
    </row>
    <row r="37">
      <c r="A37" s="3" t="s">
        <v>45</v>
      </c>
      <c r="B37" s="4">
        <v>109536.0</v>
      </c>
      <c r="C37" s="5">
        <v>27.0</v>
      </c>
      <c r="D37" s="5">
        <v>100.0</v>
      </c>
      <c r="E37" s="6">
        <v>0.14</v>
      </c>
      <c r="F37" s="7">
        <v>24.4</v>
      </c>
      <c r="G37" s="6">
        <v>0.3</v>
      </c>
      <c r="H37" s="8">
        <v>0.0528</v>
      </c>
      <c r="I37" s="8">
        <v>0.011488447794</v>
      </c>
      <c r="J37" s="9">
        <v>4.0</v>
      </c>
      <c r="K37" s="30">
        <f t="shared" si="1"/>
        <v>801803.52</v>
      </c>
      <c r="L37" s="13">
        <f t="shared" si="2"/>
        <v>0.007513963146</v>
      </c>
      <c r="M37" s="13">
        <f t="shared" si="3"/>
        <v>0.5741909195</v>
      </c>
      <c r="N37" s="37"/>
      <c r="O37" s="12">
        <f t="shared" si="4"/>
        <v>36</v>
      </c>
    </row>
    <row r="38">
      <c r="A38" s="3" t="s">
        <v>46</v>
      </c>
      <c r="B38" s="4">
        <v>109020.0</v>
      </c>
      <c r="C38" s="5">
        <v>157.0</v>
      </c>
      <c r="D38" s="5">
        <v>219.0</v>
      </c>
      <c r="E38" s="6">
        <v>0.08</v>
      </c>
      <c r="F38" s="7">
        <v>15.4</v>
      </c>
      <c r="G38" s="6">
        <v>0.3</v>
      </c>
      <c r="H38" s="8">
        <v>0.042</v>
      </c>
      <c r="I38" s="8">
        <v>0.011844926532</v>
      </c>
      <c r="J38" s="9">
        <v>5.0</v>
      </c>
      <c r="K38" s="30">
        <f t="shared" si="1"/>
        <v>503672.4</v>
      </c>
      <c r="L38" s="13">
        <f t="shared" si="2"/>
        <v>0.007478566519</v>
      </c>
      <c r="M38" s="13">
        <f t="shared" si="3"/>
        <v>0.581669486</v>
      </c>
      <c r="N38" s="37"/>
      <c r="O38" s="12">
        <f t="shared" si="4"/>
        <v>37</v>
      </c>
    </row>
    <row r="39">
      <c r="A39" s="3" t="s">
        <v>47</v>
      </c>
      <c r="B39" s="4">
        <v>108192.0</v>
      </c>
      <c r="C39" s="5">
        <v>22.0</v>
      </c>
      <c r="D39" s="5">
        <v>42.0</v>
      </c>
      <c r="E39" s="6">
        <v>0.23</v>
      </c>
      <c r="F39" s="7">
        <v>17.9</v>
      </c>
      <c r="G39" s="6">
        <v>0.3</v>
      </c>
      <c r="H39" s="8">
        <v>0.0612</v>
      </c>
      <c r="I39" s="8">
        <v>0.019565217389999997</v>
      </c>
      <c r="J39" s="9">
        <v>4.0</v>
      </c>
      <c r="K39" s="30">
        <f t="shared" si="1"/>
        <v>580991.04</v>
      </c>
      <c r="L39" s="13">
        <f t="shared" si="2"/>
        <v>0.00742176728</v>
      </c>
      <c r="M39" s="13">
        <f t="shared" si="3"/>
        <v>0.5890912533</v>
      </c>
      <c r="N39" s="37"/>
      <c r="O39" s="12">
        <f t="shared" si="4"/>
        <v>38</v>
      </c>
    </row>
    <row r="40">
      <c r="A40" s="3" t="s">
        <v>48</v>
      </c>
      <c r="B40" s="4">
        <v>104832.0</v>
      </c>
      <c r="C40" s="5">
        <v>144.0</v>
      </c>
      <c r="D40" s="5">
        <v>203.0</v>
      </c>
      <c r="E40" s="6">
        <v>0.36</v>
      </c>
      <c r="F40" s="7">
        <v>16.0</v>
      </c>
      <c r="G40" s="6">
        <v>0.3</v>
      </c>
      <c r="H40" s="8">
        <v>0.0324</v>
      </c>
      <c r="I40" s="8">
        <v>0.029515631321999997</v>
      </c>
      <c r="J40" s="9">
        <v>6.0</v>
      </c>
      <c r="K40" s="30">
        <f t="shared" si="1"/>
        <v>503193.6</v>
      </c>
      <c r="L40" s="13">
        <f t="shared" si="2"/>
        <v>0.007191277612</v>
      </c>
      <c r="M40" s="13">
        <f t="shared" si="3"/>
        <v>0.5962825309</v>
      </c>
      <c r="N40" s="37"/>
      <c r="O40" s="12">
        <f t="shared" si="4"/>
        <v>39</v>
      </c>
    </row>
    <row r="41">
      <c r="A41" s="3" t="s">
        <v>49</v>
      </c>
      <c r="B41" s="4">
        <v>103812.0</v>
      </c>
      <c r="C41" s="5">
        <v>19.0</v>
      </c>
      <c r="D41" s="5">
        <v>37.0</v>
      </c>
      <c r="E41" s="6">
        <v>0.18</v>
      </c>
      <c r="F41" s="7">
        <v>26.4</v>
      </c>
      <c r="G41" s="6">
        <v>0.3</v>
      </c>
      <c r="H41" s="8">
        <v>0.0516</v>
      </c>
      <c r="I41" s="8">
        <v>0.027197779596</v>
      </c>
      <c r="J41" s="9">
        <v>7.0</v>
      </c>
      <c r="K41" s="30">
        <f t="shared" si="1"/>
        <v>822191.04</v>
      </c>
      <c r="L41" s="13">
        <f t="shared" si="2"/>
        <v>0.007121307535</v>
      </c>
      <c r="M41" s="13">
        <f t="shared" si="3"/>
        <v>0.6034038385</v>
      </c>
      <c r="N41" s="37"/>
      <c r="O41" s="12">
        <f t="shared" si="4"/>
        <v>40</v>
      </c>
    </row>
    <row r="42">
      <c r="A42" s="3" t="s">
        <v>50</v>
      </c>
      <c r="B42" s="4">
        <v>101676.0</v>
      </c>
      <c r="C42" s="5">
        <v>18.0</v>
      </c>
      <c r="D42" s="5">
        <v>82.0</v>
      </c>
      <c r="E42" s="6">
        <v>0.59</v>
      </c>
      <c r="F42" s="7">
        <v>25.0</v>
      </c>
      <c r="G42" s="6">
        <v>0.3</v>
      </c>
      <c r="H42" s="8">
        <v>0.0848</v>
      </c>
      <c r="I42" s="8">
        <v>0.019617585204</v>
      </c>
      <c r="J42" s="9">
        <v>19.0</v>
      </c>
      <c r="K42" s="30">
        <f t="shared" si="1"/>
        <v>762570</v>
      </c>
      <c r="L42" s="13">
        <f t="shared" si="2"/>
        <v>0.006974781961</v>
      </c>
      <c r="M42" s="13">
        <f t="shared" si="3"/>
        <v>0.6103786204</v>
      </c>
      <c r="N42" s="37"/>
      <c r="O42" s="12">
        <f t="shared" si="4"/>
        <v>41</v>
      </c>
    </row>
    <row r="43">
      <c r="A43" s="3" t="s">
        <v>51</v>
      </c>
      <c r="B43" s="4">
        <v>99120.0</v>
      </c>
      <c r="C43" s="5">
        <v>58.0</v>
      </c>
      <c r="D43" s="5">
        <v>276.0</v>
      </c>
      <c r="E43" s="6">
        <v>0.95</v>
      </c>
      <c r="F43" s="7">
        <v>28.0</v>
      </c>
      <c r="G43" s="6">
        <v>0.3</v>
      </c>
      <c r="H43" s="8">
        <v>0.018</v>
      </c>
      <c r="I43" s="8">
        <v>0.028815283572</v>
      </c>
      <c r="J43" s="9">
        <v>6.0</v>
      </c>
      <c r="K43" s="30">
        <f t="shared" si="1"/>
        <v>832608</v>
      </c>
      <c r="L43" s="13">
        <f t="shared" si="2"/>
        <v>0.006799445178</v>
      </c>
      <c r="M43" s="13">
        <f t="shared" si="3"/>
        <v>0.6171780656</v>
      </c>
      <c r="N43" s="37"/>
      <c r="O43" s="12">
        <f t="shared" si="4"/>
        <v>42</v>
      </c>
    </row>
    <row r="44">
      <c r="A44" s="3" t="s">
        <v>52</v>
      </c>
      <c r="B44" s="4">
        <v>96696.0</v>
      </c>
      <c r="C44" s="5">
        <v>23.0</v>
      </c>
      <c r="D44" s="5">
        <v>34.0</v>
      </c>
      <c r="E44" s="6">
        <v>0.99</v>
      </c>
      <c r="F44" s="7">
        <v>14.5</v>
      </c>
      <c r="G44" s="6">
        <v>0.3</v>
      </c>
      <c r="H44" s="8">
        <v>0.0536</v>
      </c>
      <c r="I44" s="8">
        <v>0.019952900946</v>
      </c>
      <c r="J44" s="9">
        <v>39.0</v>
      </c>
      <c r="K44" s="30">
        <f t="shared" si="1"/>
        <v>420627.6</v>
      </c>
      <c r="L44" s="13">
        <f t="shared" si="2"/>
        <v>0.006633163347</v>
      </c>
      <c r="M44" s="13">
        <f t="shared" si="3"/>
        <v>0.623811229</v>
      </c>
      <c r="N44" s="37"/>
      <c r="O44" s="12">
        <f t="shared" si="4"/>
        <v>43</v>
      </c>
    </row>
    <row r="45">
      <c r="A45" s="3" t="s">
        <v>53</v>
      </c>
      <c r="B45" s="4">
        <v>94392.0</v>
      </c>
      <c r="C45" s="5">
        <v>47.0</v>
      </c>
      <c r="D45" s="5">
        <v>78.0</v>
      </c>
      <c r="E45" s="6">
        <v>0.47</v>
      </c>
      <c r="F45" s="7">
        <v>17.6</v>
      </c>
      <c r="G45" s="6">
        <v>0.29</v>
      </c>
      <c r="H45" s="8">
        <v>0.0608</v>
      </c>
      <c r="I45" s="8">
        <v>0.026806339482</v>
      </c>
      <c r="J45" s="9">
        <v>20.0</v>
      </c>
      <c r="K45" s="30">
        <f t="shared" si="1"/>
        <v>481776.768</v>
      </c>
      <c r="L45" s="13">
        <f t="shared" si="2"/>
        <v>0.00647511329</v>
      </c>
      <c r="M45" s="13">
        <f t="shared" si="3"/>
        <v>0.6302863423</v>
      </c>
      <c r="N45" s="37"/>
      <c r="O45" s="12">
        <f t="shared" si="4"/>
        <v>44</v>
      </c>
    </row>
    <row r="46">
      <c r="A46" s="3" t="s">
        <v>54</v>
      </c>
      <c r="B46" s="4">
        <v>89832.0</v>
      </c>
      <c r="C46" s="5">
        <v>18.0</v>
      </c>
      <c r="D46" s="5">
        <v>82.0</v>
      </c>
      <c r="E46" s="6">
        <v>0.29</v>
      </c>
      <c r="F46" s="7">
        <v>18.5</v>
      </c>
      <c r="G46" s="6">
        <v>0.3</v>
      </c>
      <c r="H46" s="8">
        <v>0.0316</v>
      </c>
      <c r="I46" s="8">
        <v>0.023753315844000002</v>
      </c>
      <c r="J46" s="9">
        <v>4.0</v>
      </c>
      <c r="K46" s="30">
        <f t="shared" si="1"/>
        <v>498567.6</v>
      </c>
      <c r="L46" s="13">
        <f t="shared" si="2"/>
        <v>0.006162305884</v>
      </c>
      <c r="M46" s="13">
        <f t="shared" si="3"/>
        <v>0.6364486481</v>
      </c>
      <c r="N46" s="37"/>
      <c r="O46" s="12">
        <f t="shared" si="4"/>
        <v>45</v>
      </c>
    </row>
    <row r="47">
      <c r="A47" s="3" t="s">
        <v>55</v>
      </c>
      <c r="B47" s="4">
        <v>89628.0</v>
      </c>
      <c r="C47" s="5">
        <v>123.0</v>
      </c>
      <c r="D47" s="5">
        <v>724.0</v>
      </c>
      <c r="E47" s="6">
        <v>0.75</v>
      </c>
      <c r="F47" s="7">
        <v>17.6</v>
      </c>
      <c r="G47" s="6">
        <v>0.26</v>
      </c>
      <c r="H47" s="8">
        <v>0.0112</v>
      </c>
      <c r="I47" s="8">
        <v>0.025741895964</v>
      </c>
      <c r="J47" s="9">
        <v>8.0</v>
      </c>
      <c r="K47" s="30">
        <f t="shared" si="1"/>
        <v>410137.728</v>
      </c>
      <c r="L47" s="13">
        <f t="shared" si="2"/>
        <v>0.006148311869</v>
      </c>
      <c r="M47" s="13">
        <f t="shared" si="3"/>
        <v>0.64259696</v>
      </c>
      <c r="N47" s="37"/>
      <c r="O47" s="12">
        <f t="shared" si="4"/>
        <v>46</v>
      </c>
    </row>
    <row r="48">
      <c r="A48" s="3" t="s">
        <v>56</v>
      </c>
      <c r="B48" s="4">
        <v>89400.0</v>
      </c>
      <c r="C48" s="5">
        <v>22.0</v>
      </c>
      <c r="D48" s="5">
        <v>37.0</v>
      </c>
      <c r="E48" s="6">
        <v>0.14</v>
      </c>
      <c r="F48" s="7">
        <v>23.7</v>
      </c>
      <c r="G48" s="6">
        <v>0.26</v>
      </c>
      <c r="H48" s="8">
        <v>0.0312</v>
      </c>
      <c r="I48" s="8">
        <v>0.023479059324</v>
      </c>
      <c r="J48" s="9">
        <v>4.0</v>
      </c>
      <c r="K48" s="30">
        <f t="shared" si="1"/>
        <v>550882.8</v>
      </c>
      <c r="L48" s="13">
        <f t="shared" si="2"/>
        <v>0.006132671499</v>
      </c>
      <c r="M48" s="13">
        <f t="shared" si="3"/>
        <v>0.6487296315</v>
      </c>
      <c r="N48" s="37"/>
      <c r="O48" s="12">
        <f t="shared" si="4"/>
        <v>47</v>
      </c>
    </row>
    <row r="49">
      <c r="A49" s="3" t="s">
        <v>57</v>
      </c>
      <c r="B49" s="4">
        <v>88608.0</v>
      </c>
      <c r="C49" s="5">
        <v>26.0</v>
      </c>
      <c r="D49" s="5">
        <v>30.0</v>
      </c>
      <c r="E49" s="6">
        <v>0.55</v>
      </c>
      <c r="F49" s="7">
        <v>15.6</v>
      </c>
      <c r="G49" s="6">
        <v>0.3</v>
      </c>
      <c r="H49" s="8">
        <v>0.0344</v>
      </c>
      <c r="I49" s="8">
        <v>0.024423862997999996</v>
      </c>
      <c r="J49" s="9">
        <v>6.0</v>
      </c>
      <c r="K49" s="30">
        <f t="shared" si="1"/>
        <v>414685.44</v>
      </c>
      <c r="L49" s="13">
        <f t="shared" si="2"/>
        <v>0.006078341791</v>
      </c>
      <c r="M49" s="13">
        <f t="shared" si="3"/>
        <v>0.6548079733</v>
      </c>
      <c r="N49" s="37"/>
      <c r="O49" s="12">
        <f t="shared" si="4"/>
        <v>48</v>
      </c>
    </row>
    <row r="50">
      <c r="A50" s="3" t="s">
        <v>58</v>
      </c>
      <c r="B50" s="4">
        <v>85968.0</v>
      </c>
      <c r="C50" s="5">
        <v>18.0</v>
      </c>
      <c r="D50" s="5">
        <v>21.0</v>
      </c>
      <c r="E50" s="6">
        <v>0.83</v>
      </c>
      <c r="F50" s="7">
        <v>21.6</v>
      </c>
      <c r="G50" s="6">
        <v>0.21</v>
      </c>
      <c r="H50" s="8">
        <v>0.0324</v>
      </c>
      <c r="I50" s="8">
        <v>0.017626891242</v>
      </c>
      <c r="J50" s="9">
        <v>5.0</v>
      </c>
      <c r="K50" s="30">
        <f t="shared" si="1"/>
        <v>389950.848</v>
      </c>
      <c r="L50" s="13">
        <f t="shared" si="2"/>
        <v>0.005897242767</v>
      </c>
      <c r="M50" s="13">
        <f t="shared" si="3"/>
        <v>0.6607052161</v>
      </c>
      <c r="N50" s="37"/>
      <c r="O50" s="12">
        <f t="shared" si="4"/>
        <v>49</v>
      </c>
    </row>
    <row r="51">
      <c r="A51" s="3" t="s">
        <v>59</v>
      </c>
      <c r="B51" s="4">
        <v>84000.0</v>
      </c>
      <c r="C51" s="5">
        <v>19.0</v>
      </c>
      <c r="D51" s="5">
        <v>76.0</v>
      </c>
      <c r="E51" s="6">
        <v>0.39</v>
      </c>
      <c r="F51" s="7">
        <v>17.6</v>
      </c>
      <c r="G51" s="6">
        <v>0.26</v>
      </c>
      <c r="H51" s="8">
        <v>0.122</v>
      </c>
      <c r="I51" s="8">
        <v>0.016294016004</v>
      </c>
      <c r="J51" s="9">
        <v>41.0</v>
      </c>
      <c r="K51" s="30">
        <f t="shared" si="1"/>
        <v>384384</v>
      </c>
      <c r="L51" s="13">
        <f t="shared" si="2"/>
        <v>0.005762241677</v>
      </c>
      <c r="M51" s="13">
        <f t="shared" si="3"/>
        <v>0.6664674577</v>
      </c>
      <c r="N51" s="37"/>
      <c r="O51" s="12">
        <f t="shared" si="4"/>
        <v>50</v>
      </c>
    </row>
    <row r="52">
      <c r="A52" s="3" t="s">
        <v>60</v>
      </c>
      <c r="B52" s="4">
        <v>83808.0</v>
      </c>
      <c r="C52" s="5">
        <v>18.0</v>
      </c>
      <c r="D52" s="5">
        <v>26.0</v>
      </c>
      <c r="E52" s="6">
        <v>0.62</v>
      </c>
      <c r="F52" s="7">
        <v>14.2</v>
      </c>
      <c r="G52" s="6">
        <v>0.29</v>
      </c>
      <c r="H52" s="8">
        <v>0.0512</v>
      </c>
      <c r="I52" s="8">
        <v>0.016465429769999998</v>
      </c>
      <c r="J52" s="9">
        <v>4.0</v>
      </c>
      <c r="K52" s="30">
        <f t="shared" si="1"/>
        <v>345121.344</v>
      </c>
      <c r="L52" s="13">
        <f t="shared" si="2"/>
        <v>0.005749070839</v>
      </c>
      <c r="M52" s="13">
        <f t="shared" si="3"/>
        <v>0.6722165286</v>
      </c>
      <c r="N52" s="37"/>
      <c r="O52" s="12">
        <f t="shared" si="4"/>
        <v>51</v>
      </c>
    </row>
    <row r="53">
      <c r="A53" s="3" t="s">
        <v>61</v>
      </c>
      <c r="B53" s="4">
        <v>83496.0</v>
      </c>
      <c r="C53" s="5">
        <v>82.0</v>
      </c>
      <c r="D53" s="5">
        <v>174.0</v>
      </c>
      <c r="E53" s="6">
        <v>0.23</v>
      </c>
      <c r="F53" s="7">
        <v>15.5</v>
      </c>
      <c r="G53" s="6">
        <v>0.3</v>
      </c>
      <c r="H53" s="8">
        <v>0.0488</v>
      </c>
      <c r="I53" s="8">
        <v>0.016134078617999998</v>
      </c>
      <c r="J53" s="9">
        <v>6.0</v>
      </c>
      <c r="K53" s="30">
        <f t="shared" si="1"/>
        <v>388256.4</v>
      </c>
      <c r="L53" s="13">
        <f t="shared" si="2"/>
        <v>0.005727668227</v>
      </c>
      <c r="M53" s="13">
        <f t="shared" si="3"/>
        <v>0.6779441968</v>
      </c>
      <c r="N53" s="37"/>
      <c r="O53" s="12">
        <f t="shared" si="4"/>
        <v>52</v>
      </c>
    </row>
    <row r="54">
      <c r="A54" s="3" t="s">
        <v>62</v>
      </c>
      <c r="B54" s="4">
        <v>82716.0</v>
      </c>
      <c r="C54" s="5">
        <v>33.0</v>
      </c>
      <c r="D54" s="5">
        <v>60.0</v>
      </c>
      <c r="E54" s="6">
        <v>0.09</v>
      </c>
      <c r="F54" s="7">
        <v>33.6</v>
      </c>
      <c r="G54" s="6">
        <v>0.26</v>
      </c>
      <c r="H54" s="8">
        <v>0.0464</v>
      </c>
      <c r="I54" s="8">
        <v>0.015748709124</v>
      </c>
      <c r="J54" s="9">
        <v>4.0</v>
      </c>
      <c r="K54" s="30">
        <f t="shared" si="1"/>
        <v>722606.976</v>
      </c>
      <c r="L54" s="13">
        <f t="shared" si="2"/>
        <v>0.005674161697</v>
      </c>
      <c r="M54" s="13">
        <f t="shared" si="3"/>
        <v>0.6836183585</v>
      </c>
      <c r="N54" s="37"/>
      <c r="O54" s="12">
        <f t="shared" si="4"/>
        <v>53</v>
      </c>
    </row>
    <row r="55">
      <c r="A55" s="3" t="s">
        <v>63</v>
      </c>
      <c r="B55" s="4">
        <v>78336.0</v>
      </c>
      <c r="C55" s="5">
        <v>17.0</v>
      </c>
      <c r="D55" s="5">
        <v>24.0</v>
      </c>
      <c r="E55" s="6">
        <v>0.5</v>
      </c>
      <c r="F55" s="7">
        <v>26.0</v>
      </c>
      <c r="G55" s="6">
        <v>0.25</v>
      </c>
      <c r="H55" s="8">
        <v>0.0592</v>
      </c>
      <c r="I55" s="8">
        <v>0.019840299114</v>
      </c>
      <c r="J55" s="9">
        <v>6.0</v>
      </c>
      <c r="K55" s="30">
        <f t="shared" si="1"/>
        <v>509184</v>
      </c>
      <c r="L55" s="13">
        <f t="shared" si="2"/>
        <v>0.005373701952</v>
      </c>
      <c r="M55" s="13">
        <f t="shared" si="3"/>
        <v>0.6889920605</v>
      </c>
      <c r="N55" s="37"/>
      <c r="O55" s="12">
        <f t="shared" si="4"/>
        <v>54</v>
      </c>
    </row>
    <row r="56">
      <c r="A56" s="3" t="s">
        <v>64</v>
      </c>
      <c r="B56" s="4">
        <v>77112.0</v>
      </c>
      <c r="C56" s="5">
        <v>19.0</v>
      </c>
      <c r="D56" s="5">
        <v>119.0</v>
      </c>
      <c r="E56" s="6">
        <v>0.79</v>
      </c>
      <c r="F56" s="7">
        <v>19.2</v>
      </c>
      <c r="G56" s="6">
        <v>0.11</v>
      </c>
      <c r="H56" s="8">
        <v>0.0756</v>
      </c>
      <c r="I56" s="8">
        <v>0.026130762611999998</v>
      </c>
      <c r="J56" s="9">
        <v>40.0</v>
      </c>
      <c r="K56" s="30">
        <f t="shared" si="1"/>
        <v>162860.544</v>
      </c>
      <c r="L56" s="13">
        <f t="shared" si="2"/>
        <v>0.005289737859</v>
      </c>
      <c r="M56" s="13">
        <f t="shared" si="3"/>
        <v>0.6942817983</v>
      </c>
      <c r="N56" s="37"/>
      <c r="O56" s="12">
        <f t="shared" si="4"/>
        <v>55</v>
      </c>
    </row>
    <row r="57">
      <c r="A57" s="3" t="s">
        <v>65</v>
      </c>
      <c r="B57" s="4">
        <v>76800.0</v>
      </c>
      <c r="C57" s="5">
        <v>183.0</v>
      </c>
      <c r="D57" s="5">
        <v>654.0</v>
      </c>
      <c r="E57" s="6">
        <v>1.0</v>
      </c>
      <c r="F57" s="7">
        <v>14.1</v>
      </c>
      <c r="G57" s="6">
        <v>0.3</v>
      </c>
      <c r="H57" s="8">
        <v>0.0784</v>
      </c>
      <c r="I57" s="8">
        <v>0.028999404816</v>
      </c>
      <c r="J57" s="9">
        <v>10.0</v>
      </c>
      <c r="K57" s="30">
        <f t="shared" si="1"/>
        <v>324864</v>
      </c>
      <c r="L57" s="13">
        <f t="shared" si="2"/>
        <v>0.005268335247</v>
      </c>
      <c r="M57" s="13">
        <f t="shared" si="3"/>
        <v>0.6995501336</v>
      </c>
      <c r="N57" s="37"/>
      <c r="O57" s="12">
        <f t="shared" si="4"/>
        <v>56</v>
      </c>
    </row>
    <row r="58">
      <c r="A58" s="3" t="s">
        <v>66</v>
      </c>
      <c r="B58" s="4">
        <v>76752.0</v>
      </c>
      <c r="C58" s="5">
        <v>17.0</v>
      </c>
      <c r="D58" s="5">
        <v>27.0</v>
      </c>
      <c r="E58" s="6">
        <v>0.61</v>
      </c>
      <c r="F58" s="7">
        <v>13.6</v>
      </c>
      <c r="G58" s="6">
        <v>0.27</v>
      </c>
      <c r="H58" s="8">
        <v>0.0952</v>
      </c>
      <c r="I58" s="8">
        <v>0.020171367521999998</v>
      </c>
      <c r="J58" s="9">
        <v>21.0</v>
      </c>
      <c r="K58" s="30">
        <f t="shared" si="1"/>
        <v>281833.344</v>
      </c>
      <c r="L58" s="13">
        <f t="shared" si="2"/>
        <v>0.005265042538</v>
      </c>
      <c r="M58" s="13">
        <f t="shared" si="3"/>
        <v>0.7048151761</v>
      </c>
      <c r="N58" s="37"/>
    </row>
    <row r="59">
      <c r="A59" s="3" t="s">
        <v>67</v>
      </c>
      <c r="B59" s="4">
        <v>76632.0</v>
      </c>
      <c r="C59" s="5">
        <v>17.0</v>
      </c>
      <c r="D59" s="5">
        <v>49.0</v>
      </c>
      <c r="E59" s="6">
        <v>0.23</v>
      </c>
      <c r="F59" s="7">
        <v>27.2</v>
      </c>
      <c r="G59" s="6">
        <v>0.29</v>
      </c>
      <c r="H59" s="8">
        <v>0.288</v>
      </c>
      <c r="I59" s="8">
        <v>0.023688228750000002</v>
      </c>
      <c r="J59" s="9">
        <v>5.0</v>
      </c>
      <c r="K59" s="30">
        <f t="shared" si="1"/>
        <v>604473.216</v>
      </c>
      <c r="L59" s="13">
        <f t="shared" si="2"/>
        <v>0.005256810764</v>
      </c>
      <c r="M59" s="13">
        <f t="shared" si="3"/>
        <v>0.7100719869</v>
      </c>
      <c r="N59" s="37"/>
    </row>
    <row r="60">
      <c r="A60" s="3" t="s">
        <v>68</v>
      </c>
      <c r="B60" s="4">
        <v>76464.0</v>
      </c>
      <c r="C60" s="5">
        <v>30.0</v>
      </c>
      <c r="D60" s="5">
        <v>67.0</v>
      </c>
      <c r="E60" s="6">
        <v>0.62</v>
      </c>
      <c r="F60" s="7">
        <v>28.0</v>
      </c>
      <c r="G60" s="6">
        <v>0.3</v>
      </c>
      <c r="H60" s="8">
        <v>0.0296</v>
      </c>
      <c r="I60" s="8">
        <v>0.012617242164</v>
      </c>
      <c r="J60" s="9">
        <v>8.0</v>
      </c>
      <c r="K60" s="30">
        <f t="shared" si="1"/>
        <v>642297.6</v>
      </c>
      <c r="L60" s="13">
        <f t="shared" si="2"/>
        <v>0.005245286281</v>
      </c>
      <c r="M60" s="13">
        <f t="shared" si="3"/>
        <v>0.7153172731</v>
      </c>
      <c r="N60" s="37"/>
    </row>
    <row r="61">
      <c r="A61" s="3" t="s">
        <v>69</v>
      </c>
      <c r="B61" s="4">
        <v>74976.0</v>
      </c>
      <c r="C61" s="5">
        <v>81.0</v>
      </c>
      <c r="D61" s="5">
        <v>232.0</v>
      </c>
      <c r="E61" s="6">
        <v>0.8</v>
      </c>
      <c r="F61" s="7">
        <v>18.0</v>
      </c>
      <c r="G61" s="6">
        <v>0.27</v>
      </c>
      <c r="H61" s="8">
        <v>0.0408</v>
      </c>
      <c r="I61" s="8">
        <v>0.019511749614</v>
      </c>
      <c r="J61" s="9">
        <v>3.0</v>
      </c>
      <c r="K61" s="30">
        <f t="shared" si="1"/>
        <v>364383.36</v>
      </c>
      <c r="L61" s="13">
        <f t="shared" si="2"/>
        <v>0.005143212285</v>
      </c>
      <c r="M61" s="13">
        <f t="shared" si="3"/>
        <v>0.7204604854</v>
      </c>
      <c r="N61" s="37"/>
    </row>
    <row r="62">
      <c r="A62" s="3" t="s">
        <v>70</v>
      </c>
      <c r="B62" s="4">
        <v>72576.0</v>
      </c>
      <c r="C62" s="5">
        <v>16.0</v>
      </c>
      <c r="D62" s="5">
        <v>40.0</v>
      </c>
      <c r="E62" s="6">
        <v>0.55</v>
      </c>
      <c r="F62" s="7">
        <v>25.2</v>
      </c>
      <c r="G62" s="6">
        <v>0.27</v>
      </c>
      <c r="H62" s="8">
        <v>0.078</v>
      </c>
      <c r="I62" s="8">
        <v>0.0157546917</v>
      </c>
      <c r="J62" s="9">
        <v>11.0</v>
      </c>
      <c r="K62" s="30">
        <f t="shared" si="1"/>
        <v>493807.104</v>
      </c>
      <c r="L62" s="13">
        <f t="shared" si="2"/>
        <v>0.004978576809</v>
      </c>
      <c r="M62" s="13">
        <f t="shared" si="3"/>
        <v>0.7254390622</v>
      </c>
      <c r="N62" s="37"/>
    </row>
    <row r="63">
      <c r="A63" s="3" t="s">
        <v>71</v>
      </c>
      <c r="B63" s="4">
        <v>70224.0</v>
      </c>
      <c r="C63" s="5">
        <v>111.0</v>
      </c>
      <c r="D63" s="5">
        <v>326.0</v>
      </c>
      <c r="E63" s="6">
        <v>0.96</v>
      </c>
      <c r="F63" s="7">
        <v>34.1</v>
      </c>
      <c r="G63" s="6">
        <v>0.3</v>
      </c>
      <c r="H63" s="8">
        <v>0.0716</v>
      </c>
      <c r="I63" s="8">
        <v>0.027939903102</v>
      </c>
      <c r="J63" s="9">
        <v>8.0</v>
      </c>
      <c r="K63" s="30">
        <f t="shared" si="1"/>
        <v>718391.52</v>
      </c>
      <c r="L63" s="13">
        <f t="shared" si="2"/>
        <v>0.004817234042</v>
      </c>
      <c r="M63" s="13">
        <f t="shared" si="3"/>
        <v>0.7302562963</v>
      </c>
      <c r="N63" s="37"/>
    </row>
    <row r="64">
      <c r="A64" s="3" t="s">
        <v>72</v>
      </c>
      <c r="B64" s="4">
        <v>69960.0</v>
      </c>
      <c r="C64" s="5">
        <v>27.0</v>
      </c>
      <c r="D64" s="5">
        <v>75.0</v>
      </c>
      <c r="E64" s="6">
        <v>0.36</v>
      </c>
      <c r="F64" s="7">
        <v>14.7</v>
      </c>
      <c r="G64" s="6">
        <v>0.28</v>
      </c>
      <c r="H64" s="8">
        <v>0.0348</v>
      </c>
      <c r="I64" s="8">
        <v>0.016269380142</v>
      </c>
      <c r="J64" s="9">
        <v>22.0</v>
      </c>
      <c r="K64" s="30">
        <f t="shared" si="1"/>
        <v>287955.36</v>
      </c>
      <c r="L64" s="13">
        <f t="shared" si="2"/>
        <v>0.004799124139</v>
      </c>
      <c r="M64" s="13">
        <f t="shared" si="3"/>
        <v>0.7350554204</v>
      </c>
      <c r="N64" s="37"/>
    </row>
    <row r="65">
      <c r="A65" s="3" t="s">
        <v>73</v>
      </c>
      <c r="B65" s="4">
        <v>67944.0</v>
      </c>
      <c r="C65" s="5">
        <v>13.0</v>
      </c>
      <c r="D65" s="5">
        <v>36.0</v>
      </c>
      <c r="E65" s="6">
        <v>0.09</v>
      </c>
      <c r="F65" s="7">
        <v>24.7</v>
      </c>
      <c r="G65" s="6">
        <v>0.29</v>
      </c>
      <c r="H65" s="8">
        <v>0.0304</v>
      </c>
      <c r="I65" s="8">
        <v>0.018732973206</v>
      </c>
      <c r="J65" s="9">
        <v>12.0</v>
      </c>
      <c r="K65" s="30">
        <f t="shared" si="1"/>
        <v>486682.872</v>
      </c>
      <c r="L65" s="13">
        <f t="shared" si="2"/>
        <v>0.004660830339</v>
      </c>
      <c r="M65" s="13">
        <f t="shared" si="3"/>
        <v>0.7397162508</v>
      </c>
      <c r="N65" s="37"/>
    </row>
    <row r="66">
      <c r="A66" s="3" t="s">
        <v>74</v>
      </c>
      <c r="B66" s="4">
        <v>67596.0</v>
      </c>
      <c r="C66" s="5">
        <v>21.0</v>
      </c>
      <c r="D66" s="5">
        <v>51.0</v>
      </c>
      <c r="E66" s="6">
        <v>0.28</v>
      </c>
      <c r="F66" s="7">
        <v>19.2</v>
      </c>
      <c r="G66" s="6">
        <v>0.3</v>
      </c>
      <c r="H66" s="8">
        <v>0.084</v>
      </c>
      <c r="I66" s="8">
        <v>0.01256964207</v>
      </c>
      <c r="J66" s="9">
        <v>6.0</v>
      </c>
      <c r="K66" s="30">
        <f t="shared" si="1"/>
        <v>389352.96</v>
      </c>
      <c r="L66" s="13">
        <f t="shared" si="2"/>
        <v>0.004636958195</v>
      </c>
      <c r="M66" s="13">
        <f t="shared" si="3"/>
        <v>0.744353209</v>
      </c>
      <c r="N66" s="37"/>
    </row>
    <row r="67">
      <c r="A67" s="3" t="s">
        <v>75</v>
      </c>
      <c r="B67" s="4">
        <v>65832.0</v>
      </c>
      <c r="C67" s="5">
        <v>17.0</v>
      </c>
      <c r="D67" s="5">
        <v>25.0</v>
      </c>
      <c r="E67" s="6">
        <v>1.0</v>
      </c>
      <c r="F67" s="7">
        <v>19.1</v>
      </c>
      <c r="G67" s="6">
        <v>0.29</v>
      </c>
      <c r="H67" s="8">
        <v>0.0948</v>
      </c>
      <c r="I67" s="8">
        <v>0.022868976857999997</v>
      </c>
      <c r="J67" s="9">
        <v>27.0</v>
      </c>
      <c r="K67" s="30">
        <f t="shared" si="1"/>
        <v>364643.448</v>
      </c>
      <c r="L67" s="13">
        <f t="shared" si="2"/>
        <v>0.00451595112</v>
      </c>
      <c r="M67" s="13">
        <f t="shared" si="3"/>
        <v>0.7488691601</v>
      </c>
      <c r="N67" s="37"/>
    </row>
    <row r="68">
      <c r="A68" s="3" t="s">
        <v>76</v>
      </c>
      <c r="B68" s="4">
        <v>58608.0</v>
      </c>
      <c r="C68" s="5">
        <v>18.0</v>
      </c>
      <c r="D68" s="5">
        <v>28.0</v>
      </c>
      <c r="E68" s="6">
        <v>0.1</v>
      </c>
      <c r="F68" s="7">
        <v>23.7</v>
      </c>
      <c r="G68" s="6">
        <v>0.3</v>
      </c>
      <c r="H68" s="8">
        <v>0.0824</v>
      </c>
      <c r="I68" s="8">
        <v>0.024168784884</v>
      </c>
      <c r="J68" s="9">
        <v>13.0</v>
      </c>
      <c r="K68" s="30">
        <f t="shared" si="1"/>
        <v>416702.88</v>
      </c>
      <c r="L68" s="13">
        <f t="shared" si="2"/>
        <v>0.004020398336</v>
      </c>
      <c r="M68" s="13">
        <f t="shared" si="3"/>
        <v>0.7528895584</v>
      </c>
      <c r="N68" s="37"/>
    </row>
    <row r="69">
      <c r="A69" s="3" t="s">
        <v>77</v>
      </c>
      <c r="B69" s="4">
        <v>58536.0</v>
      </c>
      <c r="C69" s="5">
        <v>12.0</v>
      </c>
      <c r="D69" s="5">
        <v>15.0</v>
      </c>
      <c r="E69" s="6">
        <v>0.38</v>
      </c>
      <c r="F69" s="7">
        <v>14.2</v>
      </c>
      <c r="G69" s="6">
        <v>0.27</v>
      </c>
      <c r="H69" s="8">
        <v>0.0376</v>
      </c>
      <c r="I69" s="8">
        <v>0.026526744047999998</v>
      </c>
      <c r="J69" s="9">
        <v>6.0</v>
      </c>
      <c r="K69" s="30">
        <f t="shared" si="1"/>
        <v>224427.024</v>
      </c>
      <c r="L69" s="13">
        <f t="shared" si="2"/>
        <v>0.004015459271</v>
      </c>
      <c r="M69" s="13">
        <f t="shared" si="3"/>
        <v>0.7569050177</v>
      </c>
      <c r="N69" s="37"/>
    </row>
    <row r="70">
      <c r="A70" s="3" t="s">
        <v>78</v>
      </c>
      <c r="B70" s="4">
        <v>58320.0</v>
      </c>
      <c r="C70" s="5">
        <v>30.0</v>
      </c>
      <c r="D70" s="5">
        <v>49.0</v>
      </c>
      <c r="E70" s="6">
        <v>0.29</v>
      </c>
      <c r="F70" s="7">
        <v>25.3</v>
      </c>
      <c r="G70" s="6">
        <v>0.24</v>
      </c>
      <c r="H70" s="8">
        <v>0.0696</v>
      </c>
      <c r="I70" s="8">
        <v>0.02586708498</v>
      </c>
      <c r="J70" s="9">
        <v>14.0</v>
      </c>
      <c r="K70" s="30">
        <f t="shared" si="1"/>
        <v>354119.04</v>
      </c>
      <c r="L70" s="13">
        <f t="shared" si="2"/>
        <v>0.004000642078</v>
      </c>
      <c r="M70" s="13">
        <f t="shared" si="3"/>
        <v>0.7609056598</v>
      </c>
      <c r="N70" s="37"/>
    </row>
    <row r="71">
      <c r="A71" s="3" t="s">
        <v>79</v>
      </c>
      <c r="B71" s="4">
        <v>57408.0</v>
      </c>
      <c r="C71" s="5">
        <v>10.0</v>
      </c>
      <c r="D71" s="5">
        <v>30.0</v>
      </c>
      <c r="E71" s="6">
        <v>0.03</v>
      </c>
      <c r="F71" s="7">
        <v>28.3</v>
      </c>
      <c r="G71" s="6">
        <v>0.22</v>
      </c>
      <c r="H71" s="8">
        <v>0.028</v>
      </c>
      <c r="I71" s="8">
        <v>0.012935757</v>
      </c>
      <c r="J71" s="9">
        <v>16.0</v>
      </c>
      <c r="K71" s="30">
        <f t="shared" si="1"/>
        <v>357422.208</v>
      </c>
      <c r="L71" s="13">
        <f t="shared" si="2"/>
        <v>0.003938080597</v>
      </c>
      <c r="M71" s="13">
        <f t="shared" si="3"/>
        <v>0.7648437404</v>
      </c>
      <c r="N71" s="37"/>
    </row>
    <row r="72">
      <c r="A72" s="3" t="s">
        <v>80</v>
      </c>
      <c r="B72" s="4">
        <v>56940.0</v>
      </c>
      <c r="C72" s="5">
        <v>38.0</v>
      </c>
      <c r="D72" s="5">
        <v>181.0</v>
      </c>
      <c r="E72" s="6">
        <v>0.45</v>
      </c>
      <c r="F72" s="7">
        <v>22.2</v>
      </c>
      <c r="G72" s="6">
        <v>0.3</v>
      </c>
      <c r="H72" s="8">
        <v>0.0256</v>
      </c>
      <c r="I72" s="8">
        <v>0.015326756939999998</v>
      </c>
      <c r="J72" s="9">
        <v>6.0</v>
      </c>
      <c r="K72" s="30">
        <f t="shared" si="1"/>
        <v>379220.4</v>
      </c>
      <c r="L72" s="13">
        <f t="shared" si="2"/>
        <v>0.003905976679</v>
      </c>
      <c r="M72" s="13">
        <f t="shared" si="3"/>
        <v>0.768749717</v>
      </c>
      <c r="N72" s="37"/>
    </row>
    <row r="73">
      <c r="A73" s="3" t="s">
        <v>81</v>
      </c>
      <c r="B73" s="4">
        <v>56544.0</v>
      </c>
      <c r="C73" s="5">
        <v>18.0</v>
      </c>
      <c r="D73" s="5">
        <v>86.0</v>
      </c>
      <c r="E73" s="6">
        <v>0.38</v>
      </c>
      <c r="F73" s="7">
        <v>18.9</v>
      </c>
      <c r="G73" s="6">
        <v>0.27</v>
      </c>
      <c r="H73" s="8">
        <v>0.214</v>
      </c>
      <c r="I73" s="8">
        <v>0.013790379677999998</v>
      </c>
      <c r="J73" s="9">
        <v>3.0</v>
      </c>
      <c r="K73" s="30">
        <f t="shared" si="1"/>
        <v>288544.032</v>
      </c>
      <c r="L73" s="13">
        <f t="shared" si="2"/>
        <v>0.003878811826</v>
      </c>
      <c r="M73" s="13">
        <f t="shared" si="3"/>
        <v>0.7726285289</v>
      </c>
      <c r="N73" s="37"/>
    </row>
    <row r="74">
      <c r="A74" s="3" t="s">
        <v>82</v>
      </c>
      <c r="B74" s="4">
        <v>55752.0</v>
      </c>
      <c r="C74" s="5">
        <v>15.0</v>
      </c>
      <c r="D74" s="5">
        <v>27.0</v>
      </c>
      <c r="E74" s="6">
        <v>0.71</v>
      </c>
      <c r="F74" s="7">
        <v>17.1</v>
      </c>
      <c r="G74" s="6">
        <v>0.27</v>
      </c>
      <c r="H74" s="8">
        <v>0.0464</v>
      </c>
      <c r="I74" s="8">
        <v>0.011904403152</v>
      </c>
      <c r="J74" s="9">
        <v>13.0</v>
      </c>
      <c r="K74" s="30">
        <f t="shared" si="1"/>
        <v>257406.984</v>
      </c>
      <c r="L74" s="13">
        <f t="shared" si="2"/>
        <v>0.003824482119</v>
      </c>
      <c r="M74" s="13">
        <f t="shared" si="3"/>
        <v>0.776453011</v>
      </c>
      <c r="N74" s="37"/>
    </row>
    <row r="75">
      <c r="A75" s="3" t="s">
        <v>83</v>
      </c>
      <c r="B75" s="4">
        <v>55692.0</v>
      </c>
      <c r="C75" s="5">
        <v>11.0</v>
      </c>
      <c r="D75" s="5">
        <v>17.0</v>
      </c>
      <c r="E75" s="6">
        <v>0.17</v>
      </c>
      <c r="F75" s="7">
        <v>32.7</v>
      </c>
      <c r="G75" s="6">
        <v>0.18</v>
      </c>
      <c r="H75" s="8">
        <v>0.0596</v>
      </c>
      <c r="I75" s="8">
        <v>0.012022407353999998</v>
      </c>
      <c r="J75" s="9">
        <v>5.0</v>
      </c>
      <c r="K75" s="30">
        <f t="shared" si="1"/>
        <v>327803.112</v>
      </c>
      <c r="L75" s="13">
        <f t="shared" si="2"/>
        <v>0.003820366232</v>
      </c>
      <c r="M75" s="13">
        <f t="shared" si="3"/>
        <v>0.7802733772</v>
      </c>
      <c r="N75" s="37"/>
    </row>
    <row r="76">
      <c r="A76" s="3" t="s">
        <v>84</v>
      </c>
      <c r="B76" s="4">
        <v>54948.0</v>
      </c>
      <c r="C76" s="5">
        <v>12.0</v>
      </c>
      <c r="D76" s="5">
        <v>42.0</v>
      </c>
      <c r="E76" s="6">
        <v>0.18</v>
      </c>
      <c r="F76" s="7">
        <v>17.0</v>
      </c>
      <c r="G76" s="6">
        <v>0.28</v>
      </c>
      <c r="H76" s="8">
        <v>0.0</v>
      </c>
      <c r="I76" s="8">
        <v>0.012907827168</v>
      </c>
      <c r="J76" s="9">
        <v>3.0</v>
      </c>
      <c r="K76" s="30">
        <f t="shared" si="1"/>
        <v>261552.48</v>
      </c>
      <c r="L76" s="13">
        <f t="shared" si="2"/>
        <v>0.003769329234</v>
      </c>
      <c r="M76" s="13">
        <f t="shared" si="3"/>
        <v>0.7840427064</v>
      </c>
      <c r="N76" s="37"/>
    </row>
    <row r="77">
      <c r="A77" s="3" t="s">
        <v>85</v>
      </c>
      <c r="B77" s="4">
        <v>53436.0</v>
      </c>
      <c r="C77" s="5">
        <v>33.0</v>
      </c>
      <c r="D77" s="5">
        <v>37.0</v>
      </c>
      <c r="E77" s="6">
        <v>0.39</v>
      </c>
      <c r="F77" s="7">
        <v>16.3</v>
      </c>
      <c r="G77" s="6">
        <v>0.28</v>
      </c>
      <c r="H77" s="8">
        <v>0.036</v>
      </c>
      <c r="I77" s="8">
        <v>0.011468594736</v>
      </c>
      <c r="J77" s="9">
        <v>10.0</v>
      </c>
      <c r="K77" s="30">
        <f t="shared" si="1"/>
        <v>243881.904</v>
      </c>
      <c r="L77" s="13">
        <f t="shared" si="2"/>
        <v>0.003665608884</v>
      </c>
      <c r="M77" s="13">
        <f t="shared" si="3"/>
        <v>0.7877083153</v>
      </c>
      <c r="N77" s="37"/>
    </row>
    <row r="78">
      <c r="A78" s="3" t="s">
        <v>86</v>
      </c>
      <c r="B78" s="4">
        <v>52272.0</v>
      </c>
      <c r="C78" s="5">
        <v>12.0</v>
      </c>
      <c r="D78" s="5">
        <v>23.0</v>
      </c>
      <c r="E78" s="6">
        <v>0.86</v>
      </c>
      <c r="F78" s="7">
        <v>16.0</v>
      </c>
      <c r="G78" s="6">
        <v>0.3</v>
      </c>
      <c r="H78" s="8">
        <v>0.1344</v>
      </c>
      <c r="I78" s="8">
        <v>0.016060113666</v>
      </c>
      <c r="J78" s="9">
        <v>3.0</v>
      </c>
      <c r="K78" s="30">
        <f t="shared" si="1"/>
        <v>250905.6</v>
      </c>
      <c r="L78" s="13">
        <f t="shared" si="2"/>
        <v>0.003585760678</v>
      </c>
      <c r="M78" s="13">
        <f t="shared" si="3"/>
        <v>0.791294076</v>
      </c>
      <c r="N78" s="37"/>
    </row>
    <row r="79">
      <c r="A79" s="3" t="s">
        <v>87</v>
      </c>
      <c r="B79" s="4">
        <v>52212.0</v>
      </c>
      <c r="C79" s="5">
        <v>12.0</v>
      </c>
      <c r="D79" s="5">
        <v>15.0</v>
      </c>
      <c r="E79" s="6">
        <v>1.0</v>
      </c>
      <c r="F79" s="7">
        <v>17.2</v>
      </c>
      <c r="G79" s="6">
        <v>0.3</v>
      </c>
      <c r="H79" s="8">
        <v>0.0244</v>
      </c>
      <c r="I79" s="8">
        <v>0.023641150110000002</v>
      </c>
      <c r="J79" s="9">
        <v>13.0</v>
      </c>
      <c r="K79" s="30">
        <f t="shared" si="1"/>
        <v>269413.92</v>
      </c>
      <c r="L79" s="13">
        <f t="shared" si="2"/>
        <v>0.003581644791</v>
      </c>
      <c r="M79" s="13">
        <f t="shared" si="3"/>
        <v>0.7948757208</v>
      </c>
      <c r="N79" s="37"/>
    </row>
    <row r="80">
      <c r="A80" s="3" t="s">
        <v>88</v>
      </c>
      <c r="B80" s="4">
        <v>51840.0</v>
      </c>
      <c r="C80" s="5">
        <v>14.0</v>
      </c>
      <c r="D80" s="5">
        <v>52.0</v>
      </c>
      <c r="E80" s="6">
        <v>0.77</v>
      </c>
      <c r="F80" s="7">
        <v>18.8</v>
      </c>
      <c r="G80" s="6">
        <v>0.24</v>
      </c>
      <c r="H80" s="8">
        <v>0.0644</v>
      </c>
      <c r="I80" s="8">
        <v>0.020626046256</v>
      </c>
      <c r="J80" s="9">
        <v>28.0</v>
      </c>
      <c r="K80" s="30">
        <f t="shared" si="1"/>
        <v>233902.08</v>
      </c>
      <c r="L80" s="13">
        <f t="shared" si="2"/>
        <v>0.003556126292</v>
      </c>
      <c r="M80" s="13">
        <f t="shared" si="3"/>
        <v>0.7984318471</v>
      </c>
      <c r="N80" s="37"/>
    </row>
    <row r="81">
      <c r="A81" s="3" t="s">
        <v>89</v>
      </c>
      <c r="B81" s="4">
        <v>48972.0</v>
      </c>
      <c r="C81" s="5">
        <v>101.0</v>
      </c>
      <c r="D81" s="5">
        <v>673.0</v>
      </c>
      <c r="E81" s="6">
        <v>0.16</v>
      </c>
      <c r="F81" s="7">
        <v>17.3</v>
      </c>
      <c r="G81" s="6">
        <v>0.27</v>
      </c>
      <c r="H81" s="8">
        <v>0.0708</v>
      </c>
      <c r="I81" s="8">
        <v>0.014174439636</v>
      </c>
      <c r="J81" s="9">
        <v>8.0</v>
      </c>
      <c r="K81" s="30">
        <f t="shared" si="1"/>
        <v>228748.212</v>
      </c>
      <c r="L81" s="13">
        <f t="shared" si="2"/>
        <v>0.003359386897</v>
      </c>
      <c r="M81" s="13">
        <f t="shared" si="3"/>
        <v>0.801791234</v>
      </c>
      <c r="N81" s="37"/>
    </row>
    <row r="82">
      <c r="A82" s="3" t="s">
        <v>90</v>
      </c>
      <c r="B82" s="4">
        <v>47208.0</v>
      </c>
      <c r="C82" s="5">
        <v>9.0</v>
      </c>
      <c r="D82" s="5">
        <v>11.0</v>
      </c>
      <c r="E82" s="6">
        <v>0.99</v>
      </c>
      <c r="F82" s="7">
        <v>18.6</v>
      </c>
      <c r="G82" s="6">
        <v>0.29</v>
      </c>
      <c r="H82" s="8">
        <v>0.0668</v>
      </c>
      <c r="I82" s="8">
        <v>0.02245320474</v>
      </c>
      <c r="J82" s="9">
        <v>3.0</v>
      </c>
      <c r="K82" s="30">
        <f t="shared" si="1"/>
        <v>254639.952</v>
      </c>
      <c r="L82" s="13">
        <f t="shared" si="2"/>
        <v>0.003238379822</v>
      </c>
      <c r="M82" s="13">
        <f t="shared" si="3"/>
        <v>0.8050296138</v>
      </c>
      <c r="N82" s="37"/>
    </row>
    <row r="83">
      <c r="A83" s="3" t="s">
        <v>91</v>
      </c>
      <c r="B83" s="4">
        <v>46728.0</v>
      </c>
      <c r="C83" s="5">
        <v>29.0</v>
      </c>
      <c r="D83" s="5">
        <v>41.0</v>
      </c>
      <c r="E83" s="6">
        <v>0.08</v>
      </c>
      <c r="F83" s="7">
        <v>25.2</v>
      </c>
      <c r="G83" s="6">
        <v>0.3</v>
      </c>
      <c r="H83" s="8">
        <v>0.1172</v>
      </c>
      <c r="I83" s="8">
        <v>0.022276587546</v>
      </c>
      <c r="J83" s="9">
        <v>16.0</v>
      </c>
      <c r="K83" s="30">
        <f t="shared" si="1"/>
        <v>353263.68</v>
      </c>
      <c r="L83" s="13">
        <f t="shared" si="2"/>
        <v>0.003205452727</v>
      </c>
      <c r="M83" s="13">
        <f t="shared" si="3"/>
        <v>0.8082350665</v>
      </c>
      <c r="N83" s="37"/>
    </row>
    <row r="84">
      <c r="A84" s="3" t="s">
        <v>92</v>
      </c>
      <c r="B84" s="4">
        <v>46440.0</v>
      </c>
      <c r="C84" s="5">
        <v>12.0</v>
      </c>
      <c r="D84" s="5">
        <v>63.0</v>
      </c>
      <c r="E84" s="6">
        <v>1.0</v>
      </c>
      <c r="F84" s="7">
        <v>23.6</v>
      </c>
      <c r="G84" s="6">
        <v>0.29</v>
      </c>
      <c r="H84" s="8">
        <v>0.142</v>
      </c>
      <c r="I84" s="8">
        <v>0.017853511428</v>
      </c>
      <c r="J84" s="9">
        <v>5.0</v>
      </c>
      <c r="K84" s="30">
        <f t="shared" si="1"/>
        <v>317835.36</v>
      </c>
      <c r="L84" s="13">
        <f t="shared" si="2"/>
        <v>0.00318569647</v>
      </c>
      <c r="M84" s="13">
        <f t="shared" si="3"/>
        <v>0.811420763</v>
      </c>
      <c r="N84" s="37"/>
    </row>
    <row r="85">
      <c r="A85" s="3" t="s">
        <v>93</v>
      </c>
      <c r="B85" s="4">
        <v>45864.0</v>
      </c>
      <c r="C85" s="5">
        <v>9.0</v>
      </c>
      <c r="D85" s="5">
        <v>41.0</v>
      </c>
      <c r="E85" s="6">
        <v>0.17</v>
      </c>
      <c r="F85" s="7">
        <v>23.6</v>
      </c>
      <c r="G85" s="6">
        <v>0.3</v>
      </c>
      <c r="H85" s="8">
        <v>0.1224</v>
      </c>
      <c r="I85" s="8">
        <v>0.016361072754</v>
      </c>
      <c r="J85" s="9">
        <v>15.0</v>
      </c>
      <c r="K85" s="30">
        <f t="shared" si="1"/>
        <v>324717.12</v>
      </c>
      <c r="L85" s="13">
        <f t="shared" si="2"/>
        <v>0.003146183955</v>
      </c>
      <c r="M85" s="13">
        <f t="shared" si="3"/>
        <v>0.814566947</v>
      </c>
      <c r="N85" s="37"/>
    </row>
    <row r="86">
      <c r="A86" s="3" t="s">
        <v>94</v>
      </c>
      <c r="B86" s="4">
        <v>44988.0</v>
      </c>
      <c r="C86" s="5">
        <v>15.0</v>
      </c>
      <c r="D86" s="5">
        <v>29.0</v>
      </c>
      <c r="E86" s="6">
        <v>0.81</v>
      </c>
      <c r="F86" s="7">
        <v>25.6</v>
      </c>
      <c r="G86" s="6">
        <v>0.3</v>
      </c>
      <c r="H86" s="8">
        <v>0.0396</v>
      </c>
      <c r="I86" s="8">
        <v>0.014802107291999999</v>
      </c>
      <c r="J86" s="9">
        <v>8.0</v>
      </c>
      <c r="K86" s="30">
        <f t="shared" si="1"/>
        <v>345507.84</v>
      </c>
      <c r="L86" s="13">
        <f t="shared" si="2"/>
        <v>0.003086092007</v>
      </c>
      <c r="M86" s="13">
        <f t="shared" si="3"/>
        <v>0.817653039</v>
      </c>
      <c r="N86" s="37"/>
    </row>
    <row r="87">
      <c r="A87" s="3" t="s">
        <v>95</v>
      </c>
      <c r="B87" s="4">
        <v>44352.0</v>
      </c>
      <c r="C87" s="5">
        <v>9.0</v>
      </c>
      <c r="D87" s="5">
        <v>50.0</v>
      </c>
      <c r="E87" s="6">
        <v>0.87</v>
      </c>
      <c r="F87" s="7">
        <v>13.4</v>
      </c>
      <c r="G87" s="6">
        <v>0.29</v>
      </c>
      <c r="H87" s="8">
        <v>0.0764</v>
      </c>
      <c r="I87" s="8">
        <v>0.016335971514</v>
      </c>
      <c r="J87" s="9">
        <v>26.0</v>
      </c>
      <c r="K87" s="30">
        <f t="shared" si="1"/>
        <v>172351.872</v>
      </c>
      <c r="L87" s="13">
        <f t="shared" si="2"/>
        <v>0.003042463605</v>
      </c>
      <c r="M87" s="13">
        <f t="shared" si="3"/>
        <v>0.8206955026</v>
      </c>
      <c r="N87" s="37"/>
    </row>
    <row r="88">
      <c r="A88" s="3" t="s">
        <v>96</v>
      </c>
      <c r="B88" s="4">
        <v>44304.0</v>
      </c>
      <c r="C88" s="5">
        <v>9.0</v>
      </c>
      <c r="D88" s="5">
        <v>14.0</v>
      </c>
      <c r="E88" s="6">
        <v>0.38</v>
      </c>
      <c r="F88" s="7">
        <v>18.5</v>
      </c>
      <c r="G88" s="6">
        <v>0.29</v>
      </c>
      <c r="H88" s="8">
        <v>0.052</v>
      </c>
      <c r="I88" s="8">
        <v>0.014142829842</v>
      </c>
      <c r="J88" s="9">
        <v>8.0</v>
      </c>
      <c r="K88" s="30">
        <f t="shared" si="1"/>
        <v>237690.96</v>
      </c>
      <c r="L88" s="13">
        <f t="shared" si="2"/>
        <v>0.003039170896</v>
      </c>
      <c r="M88" s="13">
        <f t="shared" si="3"/>
        <v>0.8237346735</v>
      </c>
      <c r="N88" s="37"/>
    </row>
    <row r="89">
      <c r="A89" s="3" t="s">
        <v>97</v>
      </c>
      <c r="B89" s="4">
        <v>44016.0</v>
      </c>
      <c r="C89" s="5">
        <v>9.0</v>
      </c>
      <c r="D89" s="5">
        <v>13.0</v>
      </c>
      <c r="E89" s="6">
        <v>0.3</v>
      </c>
      <c r="F89" s="7">
        <v>13.1</v>
      </c>
      <c r="G89" s="6">
        <v>0.3</v>
      </c>
      <c r="H89" s="8">
        <v>0.0312</v>
      </c>
      <c r="I89" s="8">
        <v>0.015159368453999999</v>
      </c>
      <c r="J89" s="9">
        <v>8.0</v>
      </c>
      <c r="K89" s="30">
        <f t="shared" si="1"/>
        <v>172982.88</v>
      </c>
      <c r="L89" s="13">
        <f t="shared" si="2"/>
        <v>0.003019414639</v>
      </c>
      <c r="M89" s="13">
        <f t="shared" si="3"/>
        <v>0.8267540881</v>
      </c>
      <c r="N89" s="37"/>
    </row>
    <row r="90">
      <c r="A90" s="3" t="s">
        <v>98</v>
      </c>
      <c r="B90" s="4">
        <v>43524.0</v>
      </c>
      <c r="C90" s="5">
        <v>18.0</v>
      </c>
      <c r="D90" s="5">
        <v>27.0</v>
      </c>
      <c r="E90" s="6">
        <v>0.64</v>
      </c>
      <c r="F90" s="7">
        <v>28.0</v>
      </c>
      <c r="G90" s="6">
        <v>0.25</v>
      </c>
      <c r="H90" s="8">
        <v>0.07</v>
      </c>
      <c r="I90" s="8">
        <v>0.026170939422</v>
      </c>
      <c r="J90" s="9">
        <v>37.0</v>
      </c>
      <c r="K90" s="30">
        <f t="shared" si="1"/>
        <v>304668</v>
      </c>
      <c r="L90" s="13">
        <f t="shared" si="2"/>
        <v>0.002985664366</v>
      </c>
      <c r="M90" s="13">
        <f t="shared" si="3"/>
        <v>0.8297397525</v>
      </c>
      <c r="N90" s="37"/>
    </row>
    <row r="91">
      <c r="A91" s="3" t="s">
        <v>99</v>
      </c>
      <c r="B91" s="4">
        <v>43452.0</v>
      </c>
      <c r="C91" s="5">
        <v>76.0</v>
      </c>
      <c r="D91" s="5">
        <v>149.0</v>
      </c>
      <c r="E91" s="6">
        <v>0.51</v>
      </c>
      <c r="F91" s="7">
        <v>26.3</v>
      </c>
      <c r="G91" s="6">
        <v>0.27</v>
      </c>
      <c r="H91" s="8">
        <v>0.0524</v>
      </c>
      <c r="I91" s="8">
        <v>0.015129478476</v>
      </c>
      <c r="J91" s="9">
        <v>8.0</v>
      </c>
      <c r="K91" s="30">
        <f t="shared" si="1"/>
        <v>308552.652</v>
      </c>
      <c r="L91" s="13">
        <f t="shared" si="2"/>
        <v>0.002980725302</v>
      </c>
      <c r="M91" s="13">
        <f t="shared" si="3"/>
        <v>0.8327204778</v>
      </c>
      <c r="N91" s="37"/>
    </row>
    <row r="92">
      <c r="A92" s="3" t="s">
        <v>100</v>
      </c>
      <c r="B92" s="4">
        <v>43200.0</v>
      </c>
      <c r="C92" s="5">
        <v>12.0</v>
      </c>
      <c r="D92" s="5">
        <v>16.0</v>
      </c>
      <c r="E92" s="6">
        <v>0.46</v>
      </c>
      <c r="F92" s="7">
        <v>23.1</v>
      </c>
      <c r="G92" s="6">
        <v>0.22</v>
      </c>
      <c r="H92" s="8">
        <v>0.1156</v>
      </c>
      <c r="I92" s="8">
        <v>0.02797336671</v>
      </c>
      <c r="J92" s="9">
        <v>8.0</v>
      </c>
      <c r="K92" s="30">
        <f t="shared" si="1"/>
        <v>219542.4</v>
      </c>
      <c r="L92" s="13">
        <f t="shared" si="2"/>
        <v>0.002963438577</v>
      </c>
      <c r="M92" s="13">
        <f t="shared" si="3"/>
        <v>0.8356839163</v>
      </c>
      <c r="N92" s="37"/>
    </row>
    <row r="93">
      <c r="A93" s="3" t="s">
        <v>101</v>
      </c>
      <c r="B93" s="4">
        <v>42900.0</v>
      </c>
      <c r="C93" s="5">
        <v>9.0</v>
      </c>
      <c r="D93" s="5">
        <v>60.0</v>
      </c>
      <c r="E93" s="6">
        <v>0.22</v>
      </c>
      <c r="F93" s="7">
        <v>18.8</v>
      </c>
      <c r="G93" s="6">
        <v>0.27</v>
      </c>
      <c r="H93" s="8">
        <v>0.016</v>
      </c>
      <c r="I93" s="8">
        <v>0.01879050591</v>
      </c>
      <c r="J93" s="9">
        <v>7.0</v>
      </c>
      <c r="K93" s="30">
        <f t="shared" si="1"/>
        <v>217760.4</v>
      </c>
      <c r="L93" s="13">
        <f t="shared" si="2"/>
        <v>0.002942859142</v>
      </c>
      <c r="M93" s="13">
        <f t="shared" si="3"/>
        <v>0.8386267755</v>
      </c>
      <c r="N93" s="37"/>
    </row>
    <row r="94">
      <c r="A94" s="3" t="s">
        <v>102</v>
      </c>
      <c r="B94" s="4">
        <v>42780.0</v>
      </c>
      <c r="C94" s="5">
        <v>17.0</v>
      </c>
      <c r="D94" s="5">
        <v>41.0</v>
      </c>
      <c r="E94" s="6">
        <v>0.46</v>
      </c>
      <c r="F94" s="7">
        <v>23.5</v>
      </c>
      <c r="G94" s="6">
        <v>0.3</v>
      </c>
      <c r="H94" s="8">
        <v>0.0388</v>
      </c>
      <c r="I94" s="8">
        <v>0.026138084058</v>
      </c>
      <c r="J94" s="9">
        <v>10.0</v>
      </c>
      <c r="K94" s="30">
        <f t="shared" si="1"/>
        <v>301599</v>
      </c>
      <c r="L94" s="13">
        <f t="shared" si="2"/>
        <v>0.002934627368</v>
      </c>
      <c r="M94" s="13">
        <f t="shared" si="3"/>
        <v>0.8415614029</v>
      </c>
      <c r="N94" s="37"/>
    </row>
    <row r="95">
      <c r="A95" s="3" t="s">
        <v>103</v>
      </c>
      <c r="B95" s="4">
        <v>40800.0</v>
      </c>
      <c r="C95" s="5">
        <v>14.0</v>
      </c>
      <c r="D95" s="5">
        <v>15.0</v>
      </c>
      <c r="E95" s="6">
        <v>0.71</v>
      </c>
      <c r="F95" s="7">
        <v>33.7</v>
      </c>
      <c r="G95" s="6">
        <v>0.27</v>
      </c>
      <c r="H95" s="8">
        <v>0.0404</v>
      </c>
      <c r="I95" s="8">
        <v>0.027617445606</v>
      </c>
      <c r="J95" s="9">
        <v>5.0</v>
      </c>
      <c r="K95" s="30">
        <f t="shared" si="1"/>
        <v>371239.2</v>
      </c>
      <c r="L95" s="13">
        <f t="shared" si="2"/>
        <v>0.0027988031</v>
      </c>
      <c r="M95" s="13">
        <f t="shared" si="3"/>
        <v>0.844360206</v>
      </c>
      <c r="N95" s="37"/>
    </row>
    <row r="96">
      <c r="A96" s="3" t="s">
        <v>104</v>
      </c>
      <c r="B96" s="4">
        <v>39648.0</v>
      </c>
      <c r="C96" s="5">
        <v>9.0</v>
      </c>
      <c r="D96" s="5">
        <v>75.0</v>
      </c>
      <c r="E96" s="6">
        <v>0.71</v>
      </c>
      <c r="F96" s="7">
        <v>19.2</v>
      </c>
      <c r="G96" s="6">
        <v>0.3</v>
      </c>
      <c r="H96" s="8">
        <v>0.0928</v>
      </c>
      <c r="I96" s="8">
        <v>0.019479785232000002</v>
      </c>
      <c r="J96" s="9">
        <v>10.0</v>
      </c>
      <c r="K96" s="30">
        <f t="shared" si="1"/>
        <v>228372.48</v>
      </c>
      <c r="L96" s="13">
        <f t="shared" si="2"/>
        <v>0.002719778071</v>
      </c>
      <c r="M96" s="13">
        <f t="shared" si="3"/>
        <v>0.847079984</v>
      </c>
      <c r="N96" s="37"/>
    </row>
    <row r="97">
      <c r="A97" s="3" t="s">
        <v>105</v>
      </c>
      <c r="B97" s="4">
        <v>39300.0</v>
      </c>
      <c r="C97" s="5">
        <v>17.0</v>
      </c>
      <c r="D97" s="5">
        <v>32.0</v>
      </c>
      <c r="E97" s="6">
        <v>0.94</v>
      </c>
      <c r="F97" s="7">
        <v>13.6</v>
      </c>
      <c r="G97" s="6">
        <v>0.3</v>
      </c>
      <c r="H97" s="8">
        <v>0.1248</v>
      </c>
      <c r="I97" s="8">
        <v>0.026363703924</v>
      </c>
      <c r="J97" s="9">
        <v>6.0</v>
      </c>
      <c r="K97" s="30">
        <f t="shared" si="1"/>
        <v>160344</v>
      </c>
      <c r="L97" s="13">
        <f t="shared" si="2"/>
        <v>0.002695905927</v>
      </c>
      <c r="M97" s="13">
        <f t="shared" si="3"/>
        <v>0.84977589</v>
      </c>
      <c r="N97" s="37"/>
    </row>
    <row r="98">
      <c r="A98" s="3" t="s">
        <v>106</v>
      </c>
      <c r="B98" s="4">
        <v>39060.0</v>
      </c>
      <c r="C98" s="5">
        <v>18.0</v>
      </c>
      <c r="D98" s="5">
        <v>42.0</v>
      </c>
      <c r="E98" s="6">
        <v>0.23</v>
      </c>
      <c r="F98" s="7">
        <v>20.0</v>
      </c>
      <c r="G98" s="6">
        <v>0.15</v>
      </c>
      <c r="H98" s="8">
        <v>0.0828</v>
      </c>
      <c r="I98" s="8">
        <v>0.015885373656</v>
      </c>
      <c r="J98" s="9">
        <v>14.0</v>
      </c>
      <c r="K98" s="30">
        <f t="shared" si="1"/>
        <v>117180</v>
      </c>
      <c r="L98" s="13">
        <f t="shared" si="2"/>
        <v>0.00267944238</v>
      </c>
      <c r="M98" s="13">
        <f t="shared" si="3"/>
        <v>0.8524553323</v>
      </c>
      <c r="N98" s="37"/>
    </row>
    <row r="99">
      <c r="A99" s="3" t="s">
        <v>107</v>
      </c>
      <c r="B99" s="4">
        <v>39000.0</v>
      </c>
      <c r="C99" s="5">
        <v>8.0</v>
      </c>
      <c r="D99" s="5">
        <v>66.0</v>
      </c>
      <c r="E99" s="6">
        <v>0.36</v>
      </c>
      <c r="F99" s="7">
        <v>18.1</v>
      </c>
      <c r="G99" s="6">
        <v>0.3</v>
      </c>
      <c r="H99" s="8">
        <v>0.054</v>
      </c>
      <c r="I99" s="8">
        <v>0.024492753623999997</v>
      </c>
      <c r="J99" s="9">
        <v>16.0</v>
      </c>
      <c r="K99" s="30">
        <f t="shared" si="1"/>
        <v>211770</v>
      </c>
      <c r="L99" s="13">
        <f t="shared" si="2"/>
        <v>0.002675326493</v>
      </c>
      <c r="M99" s="13">
        <f t="shared" si="3"/>
        <v>0.8551306588</v>
      </c>
      <c r="N99" s="37"/>
    </row>
    <row r="100">
      <c r="A100" s="3" t="s">
        <v>108</v>
      </c>
      <c r="B100" s="4">
        <v>38880.0</v>
      </c>
      <c r="C100" s="5">
        <v>10.0</v>
      </c>
      <c r="D100" s="5">
        <v>22.0</v>
      </c>
      <c r="E100" s="6">
        <v>0.13</v>
      </c>
      <c r="F100" s="7">
        <v>16.2</v>
      </c>
      <c r="G100" s="6">
        <v>0.27</v>
      </c>
      <c r="H100" s="8">
        <v>0.0384</v>
      </c>
      <c r="I100" s="8">
        <v>0.016859225766</v>
      </c>
      <c r="J100" s="9">
        <v>32.0</v>
      </c>
      <c r="K100" s="30">
        <f t="shared" si="1"/>
        <v>170061.12</v>
      </c>
      <c r="L100" s="13">
        <f t="shared" si="2"/>
        <v>0.002667094719</v>
      </c>
      <c r="M100" s="13">
        <f t="shared" si="3"/>
        <v>0.8577977535</v>
      </c>
      <c r="N100" s="37"/>
    </row>
    <row r="101">
      <c r="A101" s="3" t="s">
        <v>109</v>
      </c>
      <c r="B101" s="4">
        <v>38544.0</v>
      </c>
      <c r="C101" s="5">
        <v>14.0</v>
      </c>
      <c r="D101" s="5">
        <v>15.0</v>
      </c>
      <c r="E101" s="6">
        <v>0.24</v>
      </c>
      <c r="F101" s="7">
        <v>18.4</v>
      </c>
      <c r="G101" s="6">
        <v>0.3</v>
      </c>
      <c r="H101" s="8">
        <v>0.0472</v>
      </c>
      <c r="I101" s="8">
        <v>0.016269125874</v>
      </c>
      <c r="J101" s="9">
        <v>17.0</v>
      </c>
      <c r="K101" s="30">
        <f t="shared" si="1"/>
        <v>212762.88</v>
      </c>
      <c r="L101" s="13">
        <f t="shared" si="2"/>
        <v>0.002644045752</v>
      </c>
      <c r="M101" s="13">
        <f t="shared" si="3"/>
        <v>0.8604417993</v>
      </c>
      <c r="N101" s="37"/>
    </row>
    <row r="102">
      <c r="A102" s="3" t="s">
        <v>110</v>
      </c>
      <c r="B102" s="4">
        <v>37920.0</v>
      </c>
      <c r="C102" s="5">
        <v>13.0</v>
      </c>
      <c r="D102" s="5">
        <v>57.0</v>
      </c>
      <c r="E102" s="6">
        <v>0.87</v>
      </c>
      <c r="F102" s="7">
        <v>14.4</v>
      </c>
      <c r="G102" s="6">
        <v>0.3</v>
      </c>
      <c r="H102" s="8">
        <v>0.0644</v>
      </c>
      <c r="I102" s="8">
        <v>0.028096065594</v>
      </c>
      <c r="J102" s="9">
        <v>11.0</v>
      </c>
      <c r="K102" s="30">
        <f t="shared" si="1"/>
        <v>163814.4</v>
      </c>
      <c r="L102" s="13">
        <f t="shared" si="2"/>
        <v>0.002601240528</v>
      </c>
      <c r="M102" s="13">
        <f t="shared" si="3"/>
        <v>0.8630430398</v>
      </c>
      <c r="N102" s="37"/>
    </row>
    <row r="103">
      <c r="A103" s="3" t="s">
        <v>111</v>
      </c>
      <c r="B103" s="4">
        <v>37500.0</v>
      </c>
      <c r="C103" s="5">
        <v>17.0</v>
      </c>
      <c r="D103" s="5">
        <v>45.0</v>
      </c>
      <c r="E103" s="6">
        <v>0.05</v>
      </c>
      <c r="F103" s="7">
        <v>19.1</v>
      </c>
      <c r="G103" s="6">
        <v>0.3</v>
      </c>
      <c r="H103" s="8">
        <v>0.0372</v>
      </c>
      <c r="I103" s="8">
        <v>0.017298657587999998</v>
      </c>
      <c r="J103" s="9">
        <v>16.0</v>
      </c>
      <c r="K103" s="30">
        <f t="shared" si="1"/>
        <v>214875</v>
      </c>
      <c r="L103" s="13">
        <f t="shared" si="2"/>
        <v>0.00257242932</v>
      </c>
      <c r="M103" s="13">
        <f t="shared" si="3"/>
        <v>0.8656154691</v>
      </c>
      <c r="N103" s="37"/>
    </row>
    <row r="104">
      <c r="A104" s="3" t="s">
        <v>112</v>
      </c>
      <c r="B104" s="4">
        <v>37440.0</v>
      </c>
      <c r="C104" s="5">
        <v>8.0</v>
      </c>
      <c r="D104" s="5">
        <v>17.0</v>
      </c>
      <c r="E104" s="6">
        <v>0.48</v>
      </c>
      <c r="F104" s="7">
        <v>19.7</v>
      </c>
      <c r="G104" s="6">
        <v>0.3</v>
      </c>
      <c r="H104" s="8">
        <v>0.0464</v>
      </c>
      <c r="I104" s="8">
        <v>0.017808955919999998</v>
      </c>
      <c r="J104" s="9">
        <v>14.0</v>
      </c>
      <c r="K104" s="30">
        <f t="shared" si="1"/>
        <v>221270.4</v>
      </c>
      <c r="L104" s="13">
        <f t="shared" si="2"/>
        <v>0.002568313433</v>
      </c>
      <c r="M104" s="13">
        <f t="shared" si="3"/>
        <v>0.8681837826</v>
      </c>
      <c r="N104" s="37"/>
    </row>
    <row r="105">
      <c r="A105" s="3" t="s">
        <v>113</v>
      </c>
      <c r="B105" s="4">
        <v>37248.0</v>
      </c>
      <c r="C105" s="5">
        <v>10.0</v>
      </c>
      <c r="D105" s="5">
        <v>33.0</v>
      </c>
      <c r="E105" s="6">
        <v>0.41</v>
      </c>
      <c r="F105" s="7">
        <v>18.0</v>
      </c>
      <c r="G105" s="6">
        <v>0.3</v>
      </c>
      <c r="H105" s="8">
        <v>0.0724</v>
      </c>
      <c r="I105" s="8">
        <v>0.017697857064</v>
      </c>
      <c r="J105" s="9">
        <v>4.0</v>
      </c>
      <c r="K105" s="30">
        <f t="shared" si="1"/>
        <v>201139.2</v>
      </c>
      <c r="L105" s="13">
        <f t="shared" si="2"/>
        <v>0.002555142595</v>
      </c>
      <c r="M105" s="13">
        <f t="shared" si="3"/>
        <v>0.8707389252</v>
      </c>
      <c r="N105" s="37"/>
    </row>
    <row r="106">
      <c r="A106" s="3" t="s">
        <v>114</v>
      </c>
      <c r="B106" s="4">
        <v>37128.0</v>
      </c>
      <c r="C106" s="5">
        <v>8.0</v>
      </c>
      <c r="D106" s="5">
        <v>35.0</v>
      </c>
      <c r="E106" s="6">
        <v>0.87</v>
      </c>
      <c r="F106" s="7">
        <v>16.4</v>
      </c>
      <c r="G106" s="6">
        <v>0.27</v>
      </c>
      <c r="H106" s="8">
        <v>0.0776</v>
      </c>
      <c r="I106" s="8">
        <v>0.024071805168</v>
      </c>
      <c r="J106" s="9">
        <v>10.0</v>
      </c>
      <c r="K106" s="30">
        <f t="shared" si="1"/>
        <v>164402.784</v>
      </c>
      <c r="L106" s="13">
        <f t="shared" si="2"/>
        <v>0.002546910821</v>
      </c>
      <c r="M106" s="13">
        <f t="shared" si="3"/>
        <v>0.873285836</v>
      </c>
      <c r="N106" s="37"/>
    </row>
    <row r="107">
      <c r="A107" s="3" t="s">
        <v>115</v>
      </c>
      <c r="B107" s="4">
        <v>36864.0</v>
      </c>
      <c r="C107" s="5">
        <v>10.0</v>
      </c>
      <c r="D107" s="5">
        <v>23.0</v>
      </c>
      <c r="E107" s="6">
        <v>0.54</v>
      </c>
      <c r="F107" s="7">
        <v>17.3</v>
      </c>
      <c r="G107" s="6">
        <v>0.25</v>
      </c>
      <c r="H107" s="8">
        <v>0.0564</v>
      </c>
      <c r="I107" s="8">
        <v>0.023211791472</v>
      </c>
      <c r="J107" s="9">
        <v>17.0</v>
      </c>
      <c r="K107" s="30">
        <f t="shared" si="1"/>
        <v>159436.8</v>
      </c>
      <c r="L107" s="13">
        <f t="shared" si="2"/>
        <v>0.002528800919</v>
      </c>
      <c r="M107" s="13">
        <f t="shared" si="3"/>
        <v>0.8758146369</v>
      </c>
      <c r="N107" s="37"/>
    </row>
    <row r="108">
      <c r="A108" s="3" t="s">
        <v>116</v>
      </c>
      <c r="B108" s="4">
        <v>35568.0</v>
      </c>
      <c r="C108" s="5">
        <v>8.0</v>
      </c>
      <c r="D108" s="5">
        <v>40.0</v>
      </c>
      <c r="E108" s="6">
        <v>0.62</v>
      </c>
      <c r="F108" s="7">
        <v>17.4</v>
      </c>
      <c r="G108" s="6">
        <v>0.3</v>
      </c>
      <c r="H108" s="8">
        <v>0.0544</v>
      </c>
      <c r="I108" s="8">
        <v>0.022421553474</v>
      </c>
      <c r="J108" s="9">
        <v>9.0</v>
      </c>
      <c r="K108" s="30">
        <f t="shared" si="1"/>
        <v>185664.96</v>
      </c>
      <c r="L108" s="13">
        <f t="shared" si="2"/>
        <v>0.002439897761</v>
      </c>
      <c r="M108" s="13">
        <f t="shared" si="3"/>
        <v>0.8782545347</v>
      </c>
      <c r="N108" s="37"/>
    </row>
    <row r="109">
      <c r="A109" s="3" t="s">
        <v>117</v>
      </c>
      <c r="B109" s="4">
        <v>34788.0</v>
      </c>
      <c r="C109" s="5">
        <v>8.0</v>
      </c>
      <c r="D109" s="5">
        <v>17.0</v>
      </c>
      <c r="E109" s="6">
        <v>0.72</v>
      </c>
      <c r="F109" s="7">
        <v>13.7</v>
      </c>
      <c r="G109" s="6">
        <v>0.26</v>
      </c>
      <c r="H109" s="8">
        <v>0.0128</v>
      </c>
      <c r="I109" s="8">
        <v>0.020486437062</v>
      </c>
      <c r="J109" s="9">
        <v>9.0</v>
      </c>
      <c r="K109" s="30">
        <f t="shared" si="1"/>
        <v>123914.856</v>
      </c>
      <c r="L109" s="13">
        <f t="shared" si="2"/>
        <v>0.002386391232</v>
      </c>
      <c r="M109" s="13">
        <f t="shared" si="3"/>
        <v>0.8806409259</v>
      </c>
      <c r="N109" s="37"/>
    </row>
    <row r="110">
      <c r="A110" s="3" t="s">
        <v>118</v>
      </c>
      <c r="B110" s="4">
        <v>34200.0</v>
      </c>
      <c r="C110" s="5">
        <v>9.0</v>
      </c>
      <c r="D110" s="5">
        <v>13.0</v>
      </c>
      <c r="E110" s="6">
        <v>0.7</v>
      </c>
      <c r="F110" s="7">
        <v>21.8</v>
      </c>
      <c r="G110" s="6">
        <v>0.25</v>
      </c>
      <c r="H110" s="8">
        <v>0.0348</v>
      </c>
      <c r="I110" s="8">
        <v>0.020061907121999997</v>
      </c>
      <c r="J110" s="9">
        <v>7.0</v>
      </c>
      <c r="K110" s="30">
        <f t="shared" si="1"/>
        <v>186390</v>
      </c>
      <c r="L110" s="13">
        <f t="shared" si="2"/>
        <v>0.00234605554</v>
      </c>
      <c r="M110" s="13">
        <f t="shared" si="3"/>
        <v>0.8829869814</v>
      </c>
      <c r="N110" s="37"/>
    </row>
    <row r="111">
      <c r="A111" s="3" t="s">
        <v>119</v>
      </c>
      <c r="B111" s="4">
        <v>34068.0</v>
      </c>
      <c r="C111" s="5">
        <v>11.0</v>
      </c>
      <c r="D111" s="5">
        <v>110.0</v>
      </c>
      <c r="E111" s="6">
        <v>0.13</v>
      </c>
      <c r="F111" s="7">
        <v>28.6</v>
      </c>
      <c r="G111" s="6">
        <v>0.29</v>
      </c>
      <c r="H111" s="8">
        <v>0.0636</v>
      </c>
      <c r="I111" s="8">
        <v>0.022330359786</v>
      </c>
      <c r="J111" s="9">
        <v>22.0</v>
      </c>
      <c r="K111" s="30">
        <f t="shared" si="1"/>
        <v>282559.992</v>
      </c>
      <c r="L111" s="13">
        <f t="shared" si="2"/>
        <v>0.002337000589</v>
      </c>
      <c r="M111" s="13">
        <f t="shared" si="3"/>
        <v>0.885323982</v>
      </c>
      <c r="N111" s="37"/>
    </row>
    <row r="112">
      <c r="A112" s="3" t="s">
        <v>120</v>
      </c>
      <c r="B112" s="4">
        <v>33984.0</v>
      </c>
      <c r="C112" s="5">
        <v>8.0</v>
      </c>
      <c r="D112" s="5">
        <v>11.0</v>
      </c>
      <c r="E112" s="6">
        <v>0.5</v>
      </c>
      <c r="F112" s="7">
        <v>14.4</v>
      </c>
      <c r="G112" s="6">
        <v>0.29</v>
      </c>
      <c r="H112" s="8">
        <v>0.0316</v>
      </c>
      <c r="I112" s="8">
        <v>0.026209529964</v>
      </c>
      <c r="J112" s="9">
        <v>6.0</v>
      </c>
      <c r="K112" s="30">
        <f t="shared" si="1"/>
        <v>141917.184</v>
      </c>
      <c r="L112" s="13">
        <f t="shared" si="2"/>
        <v>0.002331238347</v>
      </c>
      <c r="M112" s="13">
        <f t="shared" si="3"/>
        <v>0.8876552204</v>
      </c>
      <c r="N112" s="37"/>
    </row>
    <row r="113">
      <c r="A113" s="3" t="s">
        <v>121</v>
      </c>
      <c r="B113" s="4">
        <v>33960.0</v>
      </c>
      <c r="C113" s="5">
        <v>7.0</v>
      </c>
      <c r="D113" s="5">
        <v>54.0</v>
      </c>
      <c r="E113" s="6">
        <v>0.23</v>
      </c>
      <c r="F113" s="7">
        <v>20.4</v>
      </c>
      <c r="G113" s="6">
        <v>0.3</v>
      </c>
      <c r="H113" s="8">
        <v>0.066</v>
      </c>
      <c r="I113" s="8">
        <v>0.023057722716</v>
      </c>
      <c r="J113" s="9">
        <v>13.0</v>
      </c>
      <c r="K113" s="30">
        <f t="shared" si="1"/>
        <v>207835.2</v>
      </c>
      <c r="L113" s="13">
        <f t="shared" si="2"/>
        <v>0.002329591992</v>
      </c>
      <c r="M113" s="13">
        <f t="shared" si="3"/>
        <v>0.8899848124</v>
      </c>
      <c r="N113" s="37"/>
    </row>
    <row r="114">
      <c r="A114" s="3" t="s">
        <v>122</v>
      </c>
      <c r="B114" s="4">
        <v>33408.0</v>
      </c>
      <c r="C114" s="5">
        <v>22.0</v>
      </c>
      <c r="D114" s="5">
        <v>42.0</v>
      </c>
      <c r="E114" s="6">
        <v>0.66</v>
      </c>
      <c r="F114" s="7">
        <v>22.5</v>
      </c>
      <c r="G114" s="6">
        <v>0.29</v>
      </c>
      <c r="H114" s="8">
        <v>0.0756</v>
      </c>
      <c r="I114" s="8">
        <v>0.025022708424</v>
      </c>
      <c r="J114" s="9">
        <v>19.0</v>
      </c>
      <c r="K114" s="30">
        <f t="shared" si="1"/>
        <v>217987.2</v>
      </c>
      <c r="L114" s="13">
        <f t="shared" si="2"/>
        <v>0.002291725833</v>
      </c>
      <c r="M114" s="13">
        <f t="shared" si="3"/>
        <v>0.8922765382</v>
      </c>
      <c r="N114" s="37"/>
    </row>
    <row r="115">
      <c r="A115" s="3" t="s">
        <v>123</v>
      </c>
      <c r="B115" s="4">
        <v>33060.0</v>
      </c>
      <c r="C115" s="5">
        <v>12.0</v>
      </c>
      <c r="D115" s="5">
        <v>14.0</v>
      </c>
      <c r="E115" s="6">
        <v>0.43</v>
      </c>
      <c r="F115" s="7">
        <v>22.1</v>
      </c>
      <c r="G115" s="6">
        <v>0.3</v>
      </c>
      <c r="H115" s="8">
        <v>0.0268</v>
      </c>
      <c r="I115" s="8">
        <v>0.01414609008</v>
      </c>
      <c r="J115" s="9">
        <v>6.0</v>
      </c>
      <c r="K115" s="30">
        <f t="shared" si="1"/>
        <v>219187.8</v>
      </c>
      <c r="L115" s="13">
        <f t="shared" si="2"/>
        <v>0.002267853688</v>
      </c>
      <c r="M115" s="13">
        <f t="shared" si="3"/>
        <v>0.8945443919</v>
      </c>
      <c r="N115" s="37"/>
    </row>
    <row r="116">
      <c r="A116" s="3" t="s">
        <v>124</v>
      </c>
      <c r="B116" s="4">
        <v>33000.0</v>
      </c>
      <c r="C116" s="5">
        <v>14.0</v>
      </c>
      <c r="D116" s="5">
        <v>67.0</v>
      </c>
      <c r="E116" s="6">
        <v>0.22</v>
      </c>
      <c r="F116" s="7">
        <v>12.3</v>
      </c>
      <c r="G116" s="6">
        <v>0.3</v>
      </c>
      <c r="H116" s="8">
        <v>0.2668</v>
      </c>
      <c r="I116" s="8">
        <v>0.013717138283999999</v>
      </c>
      <c r="J116" s="9">
        <v>4.0</v>
      </c>
      <c r="K116" s="30">
        <f t="shared" si="1"/>
        <v>121770</v>
      </c>
      <c r="L116" s="13">
        <f t="shared" si="2"/>
        <v>0.002263737802</v>
      </c>
      <c r="M116" s="13">
        <f t="shared" si="3"/>
        <v>0.8968081297</v>
      </c>
      <c r="N116" s="37"/>
    </row>
    <row r="117">
      <c r="A117" s="3" t="s">
        <v>125</v>
      </c>
      <c r="B117" s="4">
        <v>32940.0</v>
      </c>
      <c r="C117" s="5">
        <v>9.0</v>
      </c>
      <c r="D117" s="5">
        <v>10.0</v>
      </c>
      <c r="E117" s="6">
        <v>0.33</v>
      </c>
      <c r="F117" s="7">
        <v>17.7</v>
      </c>
      <c r="G117" s="6">
        <v>0.3</v>
      </c>
      <c r="H117" s="8">
        <v>0.0544</v>
      </c>
      <c r="I117" s="8">
        <v>0.021855261605999998</v>
      </c>
      <c r="J117" s="9">
        <v>12.0</v>
      </c>
      <c r="K117" s="30">
        <f t="shared" si="1"/>
        <v>174911.4</v>
      </c>
      <c r="L117" s="13">
        <f t="shared" si="2"/>
        <v>0.002259621915</v>
      </c>
      <c r="M117" s="13">
        <f t="shared" si="3"/>
        <v>0.8990677516</v>
      </c>
      <c r="N117" s="37"/>
    </row>
    <row r="118">
      <c r="A118" s="3" t="s">
        <v>126</v>
      </c>
      <c r="B118" s="4">
        <v>32292.0</v>
      </c>
      <c r="C118" s="5">
        <v>7.0</v>
      </c>
      <c r="D118" s="5">
        <v>8.0</v>
      </c>
      <c r="E118" s="6">
        <v>0.69</v>
      </c>
      <c r="F118" s="7">
        <v>17.1</v>
      </c>
      <c r="G118" s="6">
        <v>0.24</v>
      </c>
      <c r="H118" s="8">
        <v>0.0752</v>
      </c>
      <c r="I118" s="8">
        <v>0.016821485622</v>
      </c>
      <c r="J118" s="9">
        <v>9.0</v>
      </c>
      <c r="K118" s="30">
        <f t="shared" si="1"/>
        <v>132526.368</v>
      </c>
      <c r="L118" s="13">
        <f t="shared" si="2"/>
        <v>0.002215170336</v>
      </c>
      <c r="M118" s="13">
        <f t="shared" si="3"/>
        <v>0.901282922</v>
      </c>
      <c r="N118" s="37"/>
    </row>
    <row r="119">
      <c r="A119" s="3" t="s">
        <v>127</v>
      </c>
      <c r="B119" s="4">
        <v>32280.0</v>
      </c>
      <c r="C119" s="5">
        <v>7.0</v>
      </c>
      <c r="D119" s="5">
        <v>14.0</v>
      </c>
      <c r="E119" s="6">
        <v>0.57</v>
      </c>
      <c r="F119" s="7">
        <v>24.1</v>
      </c>
      <c r="G119" s="6">
        <v>0.3</v>
      </c>
      <c r="H119" s="8">
        <v>0.0536</v>
      </c>
      <c r="I119" s="8">
        <v>0.023332497144</v>
      </c>
      <c r="J119" s="9">
        <v>18.0</v>
      </c>
      <c r="K119" s="30">
        <f t="shared" si="1"/>
        <v>233384.4</v>
      </c>
      <c r="L119" s="13">
        <f t="shared" si="2"/>
        <v>0.002214347159</v>
      </c>
      <c r="M119" s="13">
        <f t="shared" si="3"/>
        <v>0.9034972691</v>
      </c>
      <c r="N119" s="37"/>
    </row>
    <row r="120">
      <c r="A120" s="3" t="s">
        <v>128</v>
      </c>
      <c r="B120" s="4">
        <v>31416.0</v>
      </c>
      <c r="C120" s="5">
        <v>10.0</v>
      </c>
      <c r="D120" s="5">
        <v>24.0</v>
      </c>
      <c r="E120" s="6">
        <v>0.17</v>
      </c>
      <c r="F120" s="7">
        <v>20.8</v>
      </c>
      <c r="G120" s="6">
        <v>0.3</v>
      </c>
      <c r="H120" s="8">
        <v>0.028</v>
      </c>
      <c r="I120" s="8">
        <v>0.014396767044</v>
      </c>
      <c r="J120" s="9">
        <v>14.0</v>
      </c>
      <c r="K120" s="30">
        <f t="shared" si="1"/>
        <v>196035.84</v>
      </c>
      <c r="L120" s="13">
        <f t="shared" si="2"/>
        <v>0.002155078387</v>
      </c>
      <c r="M120" s="13">
        <f t="shared" si="3"/>
        <v>0.9056523475</v>
      </c>
      <c r="N120" s="37"/>
    </row>
    <row r="121">
      <c r="A121" s="3" t="s">
        <v>129</v>
      </c>
      <c r="B121" s="4">
        <v>31320.0</v>
      </c>
      <c r="C121" s="5">
        <v>7.0</v>
      </c>
      <c r="D121" s="5">
        <v>11.0</v>
      </c>
      <c r="E121" s="6">
        <v>0.72</v>
      </c>
      <c r="F121" s="7">
        <v>27.8</v>
      </c>
      <c r="G121" s="6">
        <v>0.26</v>
      </c>
      <c r="H121" s="8">
        <v>0.0576</v>
      </c>
      <c r="I121" s="8">
        <v>0.013911334458</v>
      </c>
      <c r="J121" s="9">
        <v>5.0</v>
      </c>
      <c r="K121" s="30">
        <f t="shared" si="1"/>
        <v>226380.96</v>
      </c>
      <c r="L121" s="13">
        <f t="shared" si="2"/>
        <v>0.002148492968</v>
      </c>
      <c r="M121" s="13">
        <f t="shared" si="3"/>
        <v>0.9078008405</v>
      </c>
      <c r="N121" s="37"/>
    </row>
    <row r="122">
      <c r="A122" s="3" t="s">
        <v>130</v>
      </c>
      <c r="B122" s="4">
        <v>31104.0</v>
      </c>
      <c r="C122" s="5">
        <v>10.0</v>
      </c>
      <c r="D122" s="5">
        <v>13.0</v>
      </c>
      <c r="E122" s="6">
        <v>1.0</v>
      </c>
      <c r="F122" s="7">
        <v>18.5</v>
      </c>
      <c r="G122" s="6">
        <v>0.3</v>
      </c>
      <c r="H122" s="8">
        <v>0.0496</v>
      </c>
      <c r="I122" s="8">
        <v>0.014267113367999998</v>
      </c>
      <c r="J122" s="9">
        <v>17.0</v>
      </c>
      <c r="K122" s="30">
        <f t="shared" si="1"/>
        <v>172627.2</v>
      </c>
      <c r="L122" s="13">
        <f t="shared" si="2"/>
        <v>0.002133675775</v>
      </c>
      <c r="M122" s="13">
        <f t="shared" si="3"/>
        <v>0.9099345162</v>
      </c>
      <c r="N122" s="37"/>
    </row>
    <row r="123">
      <c r="A123" s="3" t="s">
        <v>131</v>
      </c>
      <c r="B123" s="4">
        <v>30756.0</v>
      </c>
      <c r="C123" s="5">
        <v>8.0</v>
      </c>
      <c r="D123" s="5">
        <v>9.0</v>
      </c>
      <c r="E123" s="6">
        <v>0.01</v>
      </c>
      <c r="F123" s="7">
        <v>27.8</v>
      </c>
      <c r="G123" s="6">
        <v>0.28</v>
      </c>
      <c r="H123" s="8">
        <v>0.0264</v>
      </c>
      <c r="I123" s="8">
        <v>0.017210518224</v>
      </c>
      <c r="J123" s="9">
        <v>6.0</v>
      </c>
      <c r="K123" s="30">
        <f t="shared" si="1"/>
        <v>239404.704</v>
      </c>
      <c r="L123" s="13">
        <f t="shared" si="2"/>
        <v>0.002109803631</v>
      </c>
      <c r="M123" s="13">
        <f t="shared" si="3"/>
        <v>0.9120443199</v>
      </c>
      <c r="N123" s="37"/>
    </row>
    <row r="124">
      <c r="A124" s="3" t="s">
        <v>132</v>
      </c>
      <c r="B124" s="4">
        <v>30744.0</v>
      </c>
      <c r="C124" s="5">
        <v>9.0</v>
      </c>
      <c r="D124" s="5">
        <v>12.0</v>
      </c>
      <c r="E124" s="6">
        <v>0.14</v>
      </c>
      <c r="F124" s="7">
        <v>18.6</v>
      </c>
      <c r="G124" s="6">
        <v>0.3</v>
      </c>
      <c r="H124" s="8">
        <v>0.01</v>
      </c>
      <c r="I124" s="8">
        <v>0.013187972022</v>
      </c>
      <c r="J124" s="9">
        <v>4.0</v>
      </c>
      <c r="K124" s="30">
        <f t="shared" si="1"/>
        <v>171551.52</v>
      </c>
      <c r="L124" s="13">
        <f t="shared" si="2"/>
        <v>0.002108980454</v>
      </c>
      <c r="M124" s="13">
        <f t="shared" si="3"/>
        <v>0.9141533003</v>
      </c>
      <c r="N124" s="37"/>
    </row>
    <row r="125">
      <c r="A125" s="3" t="s">
        <v>133</v>
      </c>
      <c r="B125" s="4">
        <v>28908.0</v>
      </c>
      <c r="C125" s="5">
        <v>8.0</v>
      </c>
      <c r="D125" s="5">
        <v>31.0</v>
      </c>
      <c r="E125" s="6">
        <v>0.16</v>
      </c>
      <c r="F125" s="7">
        <v>18.9</v>
      </c>
      <c r="G125" s="6">
        <v>0.27</v>
      </c>
      <c r="H125" s="8">
        <v>0.03</v>
      </c>
      <c r="I125" s="8">
        <v>0.013477483338</v>
      </c>
      <c r="J125" s="9">
        <v>9.0</v>
      </c>
      <c r="K125" s="30">
        <f t="shared" si="1"/>
        <v>147517.524</v>
      </c>
      <c r="L125" s="13">
        <f t="shared" si="2"/>
        <v>0.001983034314</v>
      </c>
      <c r="M125" s="13">
        <f t="shared" si="3"/>
        <v>0.9161363346</v>
      </c>
      <c r="N125" s="37"/>
    </row>
    <row r="126">
      <c r="A126" s="3" t="s">
        <v>134</v>
      </c>
      <c r="B126" s="4">
        <v>28896.0</v>
      </c>
      <c r="C126" s="5">
        <v>9.0</v>
      </c>
      <c r="D126" s="5">
        <v>69.0</v>
      </c>
      <c r="E126" s="6">
        <v>0.29</v>
      </c>
      <c r="F126" s="7">
        <v>21.2</v>
      </c>
      <c r="G126" s="6">
        <v>0.29</v>
      </c>
      <c r="H126" s="8">
        <v>0.0432</v>
      </c>
      <c r="I126" s="8">
        <v>0.019723351230000002</v>
      </c>
      <c r="J126" s="9">
        <v>8.0</v>
      </c>
      <c r="K126" s="30">
        <f t="shared" si="1"/>
        <v>177652.608</v>
      </c>
      <c r="L126" s="13">
        <f t="shared" si="2"/>
        <v>0.001982211137</v>
      </c>
      <c r="M126" s="13">
        <f t="shared" si="3"/>
        <v>0.9181185458</v>
      </c>
      <c r="N126" s="37"/>
    </row>
    <row r="127">
      <c r="A127" s="3" t="s">
        <v>135</v>
      </c>
      <c r="B127" s="4">
        <v>28620.0</v>
      </c>
      <c r="C127" s="5">
        <v>9.0</v>
      </c>
      <c r="D127" s="5">
        <v>25.0</v>
      </c>
      <c r="E127" s="6">
        <v>0.47</v>
      </c>
      <c r="F127" s="7">
        <v>27.3</v>
      </c>
      <c r="G127" s="6">
        <v>0.27</v>
      </c>
      <c r="H127" s="8">
        <v>0.0996</v>
      </c>
      <c r="I127" s="8">
        <v>0.021550879218</v>
      </c>
      <c r="J127" s="9">
        <v>19.0</v>
      </c>
      <c r="K127" s="30">
        <f t="shared" si="1"/>
        <v>210958.02</v>
      </c>
      <c r="L127" s="13">
        <f t="shared" si="2"/>
        <v>0.001963278057</v>
      </c>
      <c r="M127" s="13">
        <f t="shared" si="3"/>
        <v>0.9200818238</v>
      </c>
      <c r="N127" s="37"/>
    </row>
    <row r="128">
      <c r="A128" s="3" t="s">
        <v>136</v>
      </c>
      <c r="B128" s="4">
        <v>28512.0</v>
      </c>
      <c r="C128" s="5">
        <v>8.0</v>
      </c>
      <c r="D128" s="5">
        <v>10.0</v>
      </c>
      <c r="E128" s="6">
        <v>0.5</v>
      </c>
      <c r="F128" s="7">
        <v>32.2</v>
      </c>
      <c r="G128" s="6">
        <v>0.3</v>
      </c>
      <c r="H128" s="8">
        <v>0.0284</v>
      </c>
      <c r="I128" s="8">
        <v>0.021870495233999997</v>
      </c>
      <c r="J128" s="9">
        <v>6.0</v>
      </c>
      <c r="K128" s="30">
        <f t="shared" si="1"/>
        <v>275425.92</v>
      </c>
      <c r="L128" s="13">
        <f t="shared" si="2"/>
        <v>0.001955869461</v>
      </c>
      <c r="M128" s="13">
        <f t="shared" si="3"/>
        <v>0.9220376933</v>
      </c>
      <c r="N128" s="37"/>
    </row>
    <row r="129">
      <c r="A129" s="3" t="s">
        <v>137</v>
      </c>
      <c r="B129" s="4">
        <v>28080.0</v>
      </c>
      <c r="C129" s="5">
        <v>11.0</v>
      </c>
      <c r="D129" s="5">
        <v>24.0</v>
      </c>
      <c r="E129" s="6">
        <v>0.06</v>
      </c>
      <c r="F129" s="7">
        <v>29.9</v>
      </c>
      <c r="G129" s="6">
        <v>0.3</v>
      </c>
      <c r="H129" s="8">
        <v>0.088</v>
      </c>
      <c r="I129" s="8">
        <v>0.01741001934</v>
      </c>
      <c r="J129" s="9">
        <v>29.0</v>
      </c>
      <c r="K129" s="30">
        <f t="shared" si="1"/>
        <v>251877.6</v>
      </c>
      <c r="L129" s="13">
        <f t="shared" si="2"/>
        <v>0.001926235075</v>
      </c>
      <c r="M129" s="13">
        <f t="shared" si="3"/>
        <v>0.9239639284</v>
      </c>
      <c r="N129" s="37"/>
    </row>
    <row r="130">
      <c r="A130" s="3" t="s">
        <v>138</v>
      </c>
      <c r="B130" s="4">
        <v>28080.0</v>
      </c>
      <c r="C130" s="5">
        <v>7.0</v>
      </c>
      <c r="D130" s="5">
        <v>26.0</v>
      </c>
      <c r="E130" s="6">
        <v>0.21</v>
      </c>
      <c r="F130" s="7">
        <v>15.4</v>
      </c>
      <c r="G130" s="6">
        <v>0.3</v>
      </c>
      <c r="H130" s="8">
        <v>0.0272</v>
      </c>
      <c r="I130" s="8">
        <v>0.01867707036</v>
      </c>
      <c r="J130" s="9">
        <v>11.0</v>
      </c>
      <c r="K130" s="30">
        <f t="shared" si="1"/>
        <v>129729.6</v>
      </c>
      <c r="L130" s="13">
        <f t="shared" si="2"/>
        <v>0.001926235075</v>
      </c>
      <c r="M130" s="13">
        <f t="shared" si="3"/>
        <v>0.9258901634</v>
      </c>
      <c r="N130" s="37"/>
    </row>
    <row r="131">
      <c r="A131" s="3" t="s">
        <v>139</v>
      </c>
      <c r="B131" s="4">
        <v>27984.0</v>
      </c>
      <c r="C131" s="5">
        <v>14.0</v>
      </c>
      <c r="D131" s="5">
        <v>18.0</v>
      </c>
      <c r="E131" s="6">
        <v>0.28</v>
      </c>
      <c r="F131" s="7">
        <v>17.8</v>
      </c>
      <c r="G131" s="6">
        <v>0.28</v>
      </c>
      <c r="H131" s="8">
        <v>0.0544</v>
      </c>
      <c r="I131" s="8">
        <v>0.02317128093</v>
      </c>
      <c r="J131" s="9">
        <v>11.0</v>
      </c>
      <c r="K131" s="30">
        <f t="shared" si="1"/>
        <v>139472.256</v>
      </c>
      <c r="L131" s="13">
        <f t="shared" si="2"/>
        <v>0.001919649656</v>
      </c>
      <c r="M131" s="13">
        <f t="shared" si="3"/>
        <v>0.9278098131</v>
      </c>
      <c r="N131" s="37"/>
    </row>
    <row r="132">
      <c r="A132" s="3" t="s">
        <v>140</v>
      </c>
      <c r="B132" s="4">
        <v>27840.0</v>
      </c>
      <c r="C132" s="5">
        <v>6.0</v>
      </c>
      <c r="D132" s="5">
        <v>55.0</v>
      </c>
      <c r="E132" s="6">
        <v>0.58</v>
      </c>
      <c r="F132" s="7">
        <v>28.3</v>
      </c>
      <c r="G132" s="6">
        <v>0.23</v>
      </c>
      <c r="H132" s="8">
        <v>0.1064</v>
      </c>
      <c r="I132" s="8">
        <v>0.016064151282</v>
      </c>
      <c r="J132" s="9">
        <v>36.0</v>
      </c>
      <c r="K132" s="30">
        <f t="shared" si="1"/>
        <v>181210.56</v>
      </c>
      <c r="L132" s="13">
        <f t="shared" si="2"/>
        <v>0.001909771527</v>
      </c>
      <c r="M132" s="13">
        <f t="shared" si="3"/>
        <v>0.9297195846</v>
      </c>
      <c r="N132" s="37"/>
    </row>
    <row r="133">
      <c r="A133" s="3" t="s">
        <v>141</v>
      </c>
      <c r="B133" s="4">
        <v>27648.0</v>
      </c>
      <c r="C133" s="5">
        <v>6.0</v>
      </c>
      <c r="D133" s="5">
        <v>19.0</v>
      </c>
      <c r="E133" s="6">
        <v>0.67</v>
      </c>
      <c r="F133" s="7">
        <v>26.9</v>
      </c>
      <c r="G133" s="6">
        <v>0.3</v>
      </c>
      <c r="H133" s="8">
        <v>0.0968</v>
      </c>
      <c r="I133" s="8">
        <v>0.01450638516</v>
      </c>
      <c r="J133" s="9">
        <v>44.0</v>
      </c>
      <c r="K133" s="30">
        <f t="shared" si="1"/>
        <v>223119.36</v>
      </c>
      <c r="L133" s="13">
        <f t="shared" si="2"/>
        <v>0.001896600689</v>
      </c>
      <c r="M133" s="13">
        <f t="shared" si="3"/>
        <v>0.9316161853</v>
      </c>
      <c r="N133" s="37"/>
    </row>
    <row r="134">
      <c r="A134" s="3" t="s">
        <v>142</v>
      </c>
      <c r="B134" s="4">
        <v>27432.0</v>
      </c>
      <c r="C134" s="5">
        <v>7.0</v>
      </c>
      <c r="D134" s="5">
        <v>18.0</v>
      </c>
      <c r="E134" s="6">
        <v>0.45</v>
      </c>
      <c r="F134" s="7">
        <v>25.0</v>
      </c>
      <c r="G134" s="6">
        <v>0.3</v>
      </c>
      <c r="H134" s="8">
        <v>0.1256</v>
      </c>
      <c r="I134" s="8">
        <v>0.014325890844</v>
      </c>
      <c r="J134" s="9">
        <v>22.0</v>
      </c>
      <c r="K134" s="30">
        <f t="shared" si="1"/>
        <v>205740</v>
      </c>
      <c r="L134" s="13">
        <f t="shared" si="2"/>
        <v>0.001881783496</v>
      </c>
      <c r="M134" s="13">
        <f t="shared" si="3"/>
        <v>0.9334979688</v>
      </c>
      <c r="N134" s="37"/>
    </row>
    <row r="135">
      <c r="A135" s="3" t="s">
        <v>143</v>
      </c>
      <c r="B135" s="4">
        <v>27300.0</v>
      </c>
      <c r="C135" s="5">
        <v>8.0</v>
      </c>
      <c r="D135" s="5">
        <v>44.0</v>
      </c>
      <c r="E135" s="6">
        <v>0.05</v>
      </c>
      <c r="F135" s="7">
        <v>16.2</v>
      </c>
      <c r="G135" s="6">
        <v>0.28</v>
      </c>
      <c r="H135" s="8">
        <v>0.0212</v>
      </c>
      <c r="I135" s="8">
        <v>0.021603512015999998</v>
      </c>
      <c r="J135" s="9">
        <v>5.0</v>
      </c>
      <c r="K135" s="30">
        <f t="shared" si="1"/>
        <v>123832.8</v>
      </c>
      <c r="L135" s="13">
        <f t="shared" si="2"/>
        <v>0.001872728545</v>
      </c>
      <c r="M135" s="13">
        <f t="shared" si="3"/>
        <v>0.9353706974</v>
      </c>
      <c r="N135" s="37"/>
    </row>
    <row r="136">
      <c r="A136" s="3" t="s">
        <v>144</v>
      </c>
      <c r="B136" s="4">
        <v>27216.0</v>
      </c>
      <c r="C136" s="5">
        <v>8.0</v>
      </c>
      <c r="D136" s="5">
        <v>15.0</v>
      </c>
      <c r="E136" s="6">
        <v>0.54</v>
      </c>
      <c r="F136" s="7">
        <v>27.9</v>
      </c>
      <c r="G136" s="6">
        <v>0.29</v>
      </c>
      <c r="H136" s="8">
        <v>0.0556</v>
      </c>
      <c r="I136" s="8">
        <v>0.016650268776</v>
      </c>
      <c r="J136" s="9">
        <v>10.0</v>
      </c>
      <c r="K136" s="30">
        <f t="shared" si="1"/>
        <v>220204.656</v>
      </c>
      <c r="L136" s="13">
        <f t="shared" si="2"/>
        <v>0.001866966303</v>
      </c>
      <c r="M136" s="13">
        <f t="shared" si="3"/>
        <v>0.9372376637</v>
      </c>
      <c r="N136" s="37"/>
    </row>
    <row r="137">
      <c r="A137" s="3" t="s">
        <v>145</v>
      </c>
      <c r="B137" s="4">
        <v>26352.0</v>
      </c>
      <c r="C137" s="5">
        <v>8.0</v>
      </c>
      <c r="D137" s="5">
        <v>38.0</v>
      </c>
      <c r="E137" s="6">
        <v>0.35</v>
      </c>
      <c r="F137" s="7">
        <v>18.9</v>
      </c>
      <c r="G137" s="6">
        <v>0.29</v>
      </c>
      <c r="H137" s="8">
        <v>0.0584</v>
      </c>
      <c r="I137" s="8">
        <v>0.021098070599999998</v>
      </c>
      <c r="J137" s="9">
        <v>9.0</v>
      </c>
      <c r="K137" s="30">
        <f t="shared" si="1"/>
        <v>144435.312</v>
      </c>
      <c r="L137" s="13">
        <f t="shared" si="2"/>
        <v>0.001807697532</v>
      </c>
      <c r="M137" s="13">
        <f t="shared" si="3"/>
        <v>0.9390453612</v>
      </c>
      <c r="N137" s="37"/>
    </row>
    <row r="138">
      <c r="A138" s="3" t="s">
        <v>146</v>
      </c>
      <c r="B138" s="4">
        <v>26160.0</v>
      </c>
      <c r="C138" s="5">
        <v>7.0</v>
      </c>
      <c r="D138" s="5">
        <v>16.0</v>
      </c>
      <c r="E138" s="6">
        <v>0.93</v>
      </c>
      <c r="F138" s="7">
        <v>22.2</v>
      </c>
      <c r="G138" s="6">
        <v>0.3</v>
      </c>
      <c r="H138" s="8">
        <v>0.082</v>
      </c>
      <c r="I138" s="8">
        <v>0.014848584809999999</v>
      </c>
      <c r="J138" s="9">
        <v>8.0</v>
      </c>
      <c r="K138" s="30">
        <f t="shared" si="1"/>
        <v>174225.6</v>
      </c>
      <c r="L138" s="13">
        <f t="shared" si="2"/>
        <v>0.001794526694</v>
      </c>
      <c r="M138" s="13">
        <f t="shared" si="3"/>
        <v>0.9408398879</v>
      </c>
      <c r="N138" s="37"/>
    </row>
    <row r="139">
      <c r="A139" s="3" t="s">
        <v>147</v>
      </c>
      <c r="B139" s="4">
        <v>26052.0</v>
      </c>
      <c r="C139" s="5">
        <v>8.0</v>
      </c>
      <c r="D139" s="5">
        <v>9.0</v>
      </c>
      <c r="E139" s="6">
        <v>0.19</v>
      </c>
      <c r="F139" s="7">
        <v>17.3</v>
      </c>
      <c r="G139" s="6">
        <v>0.28</v>
      </c>
      <c r="H139" s="8">
        <v>0.2052</v>
      </c>
      <c r="I139" s="8">
        <v>0.022229953038</v>
      </c>
      <c r="J139" s="9">
        <v>7.0</v>
      </c>
      <c r="K139" s="30">
        <f t="shared" si="1"/>
        <v>126195.888</v>
      </c>
      <c r="L139" s="13">
        <f t="shared" si="2"/>
        <v>0.001787118097</v>
      </c>
      <c r="M139" s="13">
        <f t="shared" si="3"/>
        <v>0.942627006</v>
      </c>
      <c r="N139" s="37"/>
    </row>
    <row r="140">
      <c r="A140" s="3" t="s">
        <v>148</v>
      </c>
      <c r="B140" s="4">
        <v>25872.0</v>
      </c>
      <c r="C140" s="5">
        <v>8.0</v>
      </c>
      <c r="D140" s="5">
        <v>10.0</v>
      </c>
      <c r="E140" s="6">
        <v>0.3</v>
      </c>
      <c r="F140" s="7">
        <v>19.5</v>
      </c>
      <c r="G140" s="6">
        <v>0.28</v>
      </c>
      <c r="H140" s="8">
        <v>0.0464</v>
      </c>
      <c r="I140" s="8">
        <v>0.014290978523999999</v>
      </c>
      <c r="J140" s="9">
        <v>13.0</v>
      </c>
      <c r="K140" s="30">
        <f t="shared" si="1"/>
        <v>141261.12</v>
      </c>
      <c r="L140" s="13">
        <f t="shared" si="2"/>
        <v>0.001774770436</v>
      </c>
      <c r="M140" s="13">
        <f t="shared" si="3"/>
        <v>0.9444017764</v>
      </c>
      <c r="N140" s="37"/>
    </row>
    <row r="141">
      <c r="A141" s="3" t="s">
        <v>149</v>
      </c>
      <c r="B141" s="4">
        <v>25380.0</v>
      </c>
      <c r="C141" s="5">
        <v>7.0</v>
      </c>
      <c r="D141" s="5">
        <v>23.0</v>
      </c>
      <c r="E141" s="6">
        <v>0.97</v>
      </c>
      <c r="F141" s="7">
        <v>21.1</v>
      </c>
      <c r="G141" s="6">
        <v>0.3</v>
      </c>
      <c r="H141" s="8">
        <v>0.036</v>
      </c>
      <c r="I141" s="8">
        <v>0.018355247238</v>
      </c>
      <c r="J141" s="9">
        <v>4.0</v>
      </c>
      <c r="K141" s="30">
        <f t="shared" si="1"/>
        <v>160655.4</v>
      </c>
      <c r="L141" s="13">
        <f t="shared" si="2"/>
        <v>0.001741020164</v>
      </c>
      <c r="M141" s="13">
        <f t="shared" si="3"/>
        <v>0.9461427966</v>
      </c>
      <c r="N141" s="37"/>
    </row>
    <row r="142">
      <c r="A142" s="3" t="s">
        <v>150</v>
      </c>
      <c r="B142" s="4">
        <v>24768.0</v>
      </c>
      <c r="C142" s="5">
        <v>8.0</v>
      </c>
      <c r="D142" s="5">
        <v>11.0</v>
      </c>
      <c r="E142" s="6">
        <v>0.84</v>
      </c>
      <c r="F142" s="7">
        <v>36.3</v>
      </c>
      <c r="G142" s="6">
        <v>0.29</v>
      </c>
      <c r="H142" s="8">
        <v>0.0</v>
      </c>
      <c r="I142" s="8">
        <v>0.031041533118000002</v>
      </c>
      <c r="J142" s="9">
        <v>3.0</v>
      </c>
      <c r="K142" s="30">
        <f t="shared" si="1"/>
        <v>260732.736</v>
      </c>
      <c r="L142" s="13">
        <f t="shared" si="2"/>
        <v>0.001699038117</v>
      </c>
      <c r="M142" s="13">
        <f t="shared" si="3"/>
        <v>0.9478418347</v>
      </c>
      <c r="N142" s="37"/>
    </row>
    <row r="143">
      <c r="A143" s="3" t="s">
        <v>151</v>
      </c>
      <c r="B143" s="4">
        <v>24420.0</v>
      </c>
      <c r="C143" s="5">
        <v>8.0</v>
      </c>
      <c r="D143" s="5">
        <v>40.0</v>
      </c>
      <c r="E143" s="6">
        <v>0.55</v>
      </c>
      <c r="F143" s="7">
        <v>14.9</v>
      </c>
      <c r="G143" s="6">
        <v>0.23</v>
      </c>
      <c r="H143" s="8">
        <v>0.0212</v>
      </c>
      <c r="I143" s="8">
        <v>0.034744900038</v>
      </c>
      <c r="J143" s="9">
        <v>14.0</v>
      </c>
      <c r="K143" s="30">
        <f t="shared" si="1"/>
        <v>83687.34</v>
      </c>
      <c r="L143" s="13">
        <f t="shared" si="2"/>
        <v>0.001675165973</v>
      </c>
      <c r="M143" s="13">
        <f t="shared" si="3"/>
        <v>0.9495170007</v>
      </c>
      <c r="N143" s="37"/>
    </row>
    <row r="144">
      <c r="A144" s="3" t="s">
        <v>152</v>
      </c>
      <c r="B144" s="4">
        <v>23616.0</v>
      </c>
      <c r="C144" s="5">
        <v>16.0</v>
      </c>
      <c r="D144" s="5">
        <v>20.0</v>
      </c>
      <c r="E144" s="6">
        <v>0.35</v>
      </c>
      <c r="F144" s="7">
        <v>19.4</v>
      </c>
      <c r="G144" s="6">
        <v>0.3</v>
      </c>
      <c r="H144" s="8">
        <v>0.0432</v>
      </c>
      <c r="I144" s="8">
        <v>0.013686874541999999</v>
      </c>
      <c r="J144" s="9">
        <v>8.0</v>
      </c>
      <c r="K144" s="30">
        <f t="shared" si="1"/>
        <v>137445.12</v>
      </c>
      <c r="L144" s="13">
        <f t="shared" si="2"/>
        <v>0.001620013089</v>
      </c>
      <c r="M144" s="13">
        <f t="shared" si="3"/>
        <v>0.9511370138</v>
      </c>
      <c r="N144" s="37"/>
    </row>
    <row r="145">
      <c r="A145" s="3" t="s">
        <v>153</v>
      </c>
      <c r="B145" s="4">
        <v>21708.0</v>
      </c>
      <c r="C145" s="5">
        <v>7.0</v>
      </c>
      <c r="D145" s="5">
        <v>9.0</v>
      </c>
      <c r="E145" s="6">
        <v>0.37</v>
      </c>
      <c r="F145" s="7">
        <v>16.4</v>
      </c>
      <c r="G145" s="6">
        <v>0.27</v>
      </c>
      <c r="H145" s="8">
        <v>0.0392</v>
      </c>
      <c r="I145" s="8">
        <v>0.030804349457999997</v>
      </c>
      <c r="J145" s="9">
        <v>12.0</v>
      </c>
      <c r="K145" s="30">
        <f t="shared" si="1"/>
        <v>96123.024</v>
      </c>
      <c r="L145" s="13">
        <f t="shared" si="2"/>
        <v>0.001489127885</v>
      </c>
      <c r="M145" s="13">
        <f t="shared" si="3"/>
        <v>0.9526261416</v>
      </c>
      <c r="N145" s="37"/>
    </row>
    <row r="146">
      <c r="A146" s="3" t="s">
        <v>154</v>
      </c>
      <c r="B146" s="4">
        <v>21600.0</v>
      </c>
      <c r="C146" s="5">
        <v>8.0</v>
      </c>
      <c r="D146" s="5">
        <v>13.0</v>
      </c>
      <c r="E146" s="6">
        <v>0.77</v>
      </c>
      <c r="F146" s="7">
        <v>18.1</v>
      </c>
      <c r="G146" s="6">
        <v>0.29</v>
      </c>
      <c r="H146" s="8">
        <v>0.0564</v>
      </c>
      <c r="I146" s="8">
        <v>0.017213501915999997</v>
      </c>
      <c r="J146" s="9">
        <v>9.0</v>
      </c>
      <c r="K146" s="30">
        <f t="shared" si="1"/>
        <v>113378.4</v>
      </c>
      <c r="L146" s="13">
        <f t="shared" si="2"/>
        <v>0.001481719288</v>
      </c>
      <c r="M146" s="13">
        <f t="shared" si="3"/>
        <v>0.9541078609</v>
      </c>
      <c r="N146" s="37"/>
    </row>
    <row r="147">
      <c r="A147" s="3" t="s">
        <v>155</v>
      </c>
      <c r="B147" s="4">
        <v>20880.0</v>
      </c>
      <c r="C147" s="5">
        <v>8.0</v>
      </c>
      <c r="D147" s="5">
        <v>80.0</v>
      </c>
      <c r="E147" s="6">
        <v>0.56</v>
      </c>
      <c r="F147" s="7">
        <v>15.8</v>
      </c>
      <c r="G147" s="6">
        <v>0.3</v>
      </c>
      <c r="H147" s="8">
        <v>0.0896</v>
      </c>
      <c r="I147" s="8">
        <v>0.009831856206</v>
      </c>
      <c r="J147" s="9">
        <v>11.0</v>
      </c>
      <c r="K147" s="30">
        <f t="shared" si="1"/>
        <v>98971.2</v>
      </c>
      <c r="L147" s="13">
        <f t="shared" si="2"/>
        <v>0.001432328645</v>
      </c>
      <c r="M147" s="13">
        <f t="shared" si="3"/>
        <v>0.9555401896</v>
      </c>
      <c r="N147" s="37"/>
    </row>
    <row r="148">
      <c r="A148" s="3" t="s">
        <v>156</v>
      </c>
      <c r="B148" s="4">
        <v>20808.0</v>
      </c>
      <c r="C148" s="5">
        <v>10.0</v>
      </c>
      <c r="D148" s="5">
        <v>11.0</v>
      </c>
      <c r="E148" s="6">
        <v>0.76</v>
      </c>
      <c r="F148" s="7">
        <v>20.1</v>
      </c>
      <c r="G148" s="6">
        <v>0.25</v>
      </c>
      <c r="H148" s="8">
        <v>0.0524</v>
      </c>
      <c r="I148" s="8">
        <v>0.034392262326</v>
      </c>
      <c r="J148" s="9">
        <v>10.0</v>
      </c>
      <c r="K148" s="30">
        <f t="shared" si="1"/>
        <v>104560.2</v>
      </c>
      <c r="L148" s="13">
        <f t="shared" si="2"/>
        <v>0.001427389581</v>
      </c>
      <c r="M148" s="13">
        <f t="shared" si="3"/>
        <v>0.9569675792</v>
      </c>
      <c r="N148" s="37"/>
    </row>
    <row r="149">
      <c r="A149" s="3" t="s">
        <v>157</v>
      </c>
      <c r="B149" s="4">
        <v>20448.0</v>
      </c>
      <c r="C149" s="5">
        <v>8.0</v>
      </c>
      <c r="D149" s="5">
        <v>10.0</v>
      </c>
      <c r="E149" s="6">
        <v>0.03</v>
      </c>
      <c r="F149" s="7">
        <v>26.4</v>
      </c>
      <c r="G149" s="6">
        <v>0.25</v>
      </c>
      <c r="H149" s="8">
        <v>0.0532</v>
      </c>
      <c r="I149" s="8">
        <v>0.01781536725</v>
      </c>
      <c r="J149" s="9">
        <v>34.0</v>
      </c>
      <c r="K149" s="30">
        <f t="shared" si="1"/>
        <v>134956.8</v>
      </c>
      <c r="L149" s="13">
        <f t="shared" si="2"/>
        <v>0.00140269426</v>
      </c>
      <c r="M149" s="13">
        <f t="shared" si="3"/>
        <v>0.9583702734</v>
      </c>
      <c r="N149" s="37"/>
    </row>
    <row r="150">
      <c r="A150" s="3" t="s">
        <v>158</v>
      </c>
      <c r="B150" s="4">
        <v>19872.0</v>
      </c>
      <c r="C150" s="5">
        <v>14.0</v>
      </c>
      <c r="D150" s="5">
        <v>16.0</v>
      </c>
      <c r="E150" s="6">
        <v>0.88</v>
      </c>
      <c r="F150" s="7">
        <v>20.9</v>
      </c>
      <c r="G150" s="6">
        <v>0.29</v>
      </c>
      <c r="H150" s="8">
        <v>0.0592</v>
      </c>
      <c r="I150" s="8">
        <v>0.014158759902</v>
      </c>
      <c r="J150" s="9">
        <v>16.0</v>
      </c>
      <c r="K150" s="30">
        <f t="shared" si="1"/>
        <v>120444.192</v>
      </c>
      <c r="L150" s="13">
        <f t="shared" si="2"/>
        <v>0.001363181745</v>
      </c>
      <c r="M150" s="13">
        <f t="shared" si="3"/>
        <v>0.9597334552</v>
      </c>
      <c r="N150" s="37"/>
    </row>
    <row r="151">
      <c r="A151" s="3" t="s">
        <v>159</v>
      </c>
      <c r="B151" s="4">
        <v>19824.0</v>
      </c>
      <c r="C151" s="5">
        <v>6.0</v>
      </c>
      <c r="D151" s="5">
        <v>7.0</v>
      </c>
      <c r="E151" s="6">
        <v>0.3</v>
      </c>
      <c r="F151" s="7">
        <v>23.7</v>
      </c>
      <c r="G151" s="6">
        <v>0.27</v>
      </c>
      <c r="H151" s="8">
        <v>0.074</v>
      </c>
      <c r="I151" s="8">
        <v>0.019642969782</v>
      </c>
      <c r="J151" s="9">
        <v>4.0</v>
      </c>
      <c r="K151" s="30">
        <f t="shared" si="1"/>
        <v>126853.776</v>
      </c>
      <c r="L151" s="13">
        <f t="shared" si="2"/>
        <v>0.001359889036</v>
      </c>
      <c r="M151" s="13">
        <f t="shared" si="3"/>
        <v>0.9610933442</v>
      </c>
      <c r="N151" s="37"/>
    </row>
    <row r="152">
      <c r="A152" s="3" t="s">
        <v>160</v>
      </c>
      <c r="B152" s="4">
        <v>19488.0</v>
      </c>
      <c r="C152" s="5">
        <v>9.0</v>
      </c>
      <c r="D152" s="5">
        <v>12.0</v>
      </c>
      <c r="E152" s="6">
        <v>0.3</v>
      </c>
      <c r="F152" s="7">
        <v>20.0</v>
      </c>
      <c r="G152" s="6">
        <v>0.3</v>
      </c>
      <c r="H152" s="8">
        <v>0.146</v>
      </c>
      <c r="I152" s="8">
        <v>0.013821521238</v>
      </c>
      <c r="J152" s="9">
        <v>6.0</v>
      </c>
      <c r="K152" s="30">
        <f t="shared" si="1"/>
        <v>116928</v>
      </c>
      <c r="L152" s="13">
        <f t="shared" si="2"/>
        <v>0.001336840069</v>
      </c>
      <c r="M152" s="13">
        <f t="shared" si="3"/>
        <v>0.9624301843</v>
      </c>
      <c r="N152" s="37"/>
    </row>
    <row r="153">
      <c r="A153" s="3" t="s">
        <v>161</v>
      </c>
      <c r="B153" s="4">
        <v>19008.0</v>
      </c>
      <c r="C153" s="5">
        <v>10.0</v>
      </c>
      <c r="D153" s="5">
        <v>13.0</v>
      </c>
      <c r="E153" s="6">
        <v>1.0</v>
      </c>
      <c r="F153" s="7">
        <v>18.0</v>
      </c>
      <c r="G153" s="6">
        <v>0.18</v>
      </c>
      <c r="H153" s="8">
        <v>0.0184</v>
      </c>
      <c r="I153" s="8">
        <v>0.017544254633999997</v>
      </c>
      <c r="J153" s="9">
        <v>7.0</v>
      </c>
      <c r="K153" s="30">
        <f t="shared" si="1"/>
        <v>61585.92</v>
      </c>
      <c r="L153" s="13">
        <f t="shared" si="2"/>
        <v>0.001303912974</v>
      </c>
      <c r="M153" s="13">
        <f t="shared" si="3"/>
        <v>0.9637340972</v>
      </c>
      <c r="N153" s="37"/>
    </row>
    <row r="154">
      <c r="A154" s="3" t="s">
        <v>162</v>
      </c>
      <c r="B154" s="4">
        <v>19008.0</v>
      </c>
      <c r="C154" s="5">
        <v>7.0</v>
      </c>
      <c r="D154" s="5">
        <v>19.0</v>
      </c>
      <c r="E154" s="6">
        <v>0.38</v>
      </c>
      <c r="F154" s="7">
        <v>18.4</v>
      </c>
      <c r="G154" s="6">
        <v>0.28</v>
      </c>
      <c r="H154" s="8">
        <v>0.3132</v>
      </c>
      <c r="I154" s="8">
        <v>0.016501331442</v>
      </c>
      <c r="J154" s="9">
        <v>5.0</v>
      </c>
      <c r="K154" s="30">
        <f t="shared" si="1"/>
        <v>97929.216</v>
      </c>
      <c r="L154" s="13">
        <f t="shared" si="2"/>
        <v>0.001303912974</v>
      </c>
      <c r="M154" s="13">
        <f t="shared" si="3"/>
        <v>0.9650380102</v>
      </c>
      <c r="N154" s="37"/>
    </row>
    <row r="155">
      <c r="A155" s="3" t="s">
        <v>163</v>
      </c>
      <c r="B155" s="4">
        <v>18816.0</v>
      </c>
      <c r="C155" s="5">
        <v>6.0</v>
      </c>
      <c r="D155" s="5">
        <v>13.0</v>
      </c>
      <c r="E155" s="6">
        <v>0.31</v>
      </c>
      <c r="F155" s="7">
        <v>32.4</v>
      </c>
      <c r="G155" s="6">
        <v>0.29</v>
      </c>
      <c r="H155" s="8">
        <v>0.0388</v>
      </c>
      <c r="I155" s="8">
        <v>0.018379929761999998</v>
      </c>
      <c r="J155" s="9">
        <v>10.0</v>
      </c>
      <c r="K155" s="30">
        <f t="shared" si="1"/>
        <v>176795.136</v>
      </c>
      <c r="L155" s="13">
        <f t="shared" si="2"/>
        <v>0.001290742136</v>
      </c>
      <c r="M155" s="13">
        <f t="shared" si="3"/>
        <v>0.9663287524</v>
      </c>
      <c r="N155" s="37"/>
    </row>
    <row r="156">
      <c r="A156" s="3" t="s">
        <v>164</v>
      </c>
      <c r="B156" s="4">
        <v>18240.0</v>
      </c>
      <c r="C156" s="5">
        <v>13.0</v>
      </c>
      <c r="D156" s="5">
        <v>27.0</v>
      </c>
      <c r="E156" s="6">
        <v>0.68</v>
      </c>
      <c r="F156" s="7">
        <v>19.5</v>
      </c>
      <c r="G156" s="6">
        <v>0.3</v>
      </c>
      <c r="H156" s="8">
        <v>0.0344</v>
      </c>
      <c r="I156" s="8">
        <v>0.01763664576</v>
      </c>
      <c r="J156" s="9">
        <v>4.0</v>
      </c>
      <c r="K156" s="30">
        <f t="shared" si="1"/>
        <v>106704</v>
      </c>
      <c r="L156" s="13">
        <f t="shared" si="2"/>
        <v>0.001251229621</v>
      </c>
      <c r="M156" s="13">
        <f t="shared" si="3"/>
        <v>0.967579982</v>
      </c>
      <c r="N156" s="37"/>
    </row>
    <row r="157">
      <c r="A157" s="3" t="s">
        <v>165</v>
      </c>
      <c r="B157" s="4">
        <v>18000.0</v>
      </c>
      <c r="C157" s="5">
        <v>13.0</v>
      </c>
      <c r="D157" s="5">
        <v>19.0</v>
      </c>
      <c r="E157" s="6">
        <v>0.93</v>
      </c>
      <c r="F157" s="7">
        <v>22.5</v>
      </c>
      <c r="G157" s="6">
        <v>0.3</v>
      </c>
      <c r="H157" s="8">
        <v>0.0544</v>
      </c>
      <c r="I157" s="8">
        <v>0.017958540377999998</v>
      </c>
      <c r="J157" s="9">
        <v>6.0</v>
      </c>
      <c r="K157" s="30">
        <f t="shared" si="1"/>
        <v>121500</v>
      </c>
      <c r="L157" s="13">
        <f t="shared" si="2"/>
        <v>0.001234766074</v>
      </c>
      <c r="M157" s="13">
        <f t="shared" si="3"/>
        <v>0.968814748</v>
      </c>
      <c r="N157" s="37"/>
    </row>
    <row r="158">
      <c r="A158" s="3" t="s">
        <v>166</v>
      </c>
      <c r="B158" s="4">
        <v>17712.0</v>
      </c>
      <c r="C158" s="5">
        <v>7.0</v>
      </c>
      <c r="D158" s="5">
        <v>20.0</v>
      </c>
      <c r="E158" s="6">
        <v>0.87</v>
      </c>
      <c r="F158" s="7">
        <v>19.0</v>
      </c>
      <c r="G158" s="6">
        <v>0.23</v>
      </c>
      <c r="H158" s="8">
        <v>0.0592</v>
      </c>
      <c r="I158" s="8">
        <v>0.009844548228</v>
      </c>
      <c r="J158" s="9">
        <v>11.0</v>
      </c>
      <c r="K158" s="30">
        <f t="shared" si="1"/>
        <v>77401.44</v>
      </c>
      <c r="L158" s="13">
        <f t="shared" si="2"/>
        <v>0.001215009816</v>
      </c>
      <c r="M158" s="13">
        <f t="shared" si="3"/>
        <v>0.9700297579</v>
      </c>
      <c r="N158" s="37"/>
    </row>
    <row r="159">
      <c r="A159" s="3" t="s">
        <v>167</v>
      </c>
      <c r="B159" s="4">
        <v>17280.0</v>
      </c>
      <c r="C159" s="5">
        <v>6.0</v>
      </c>
      <c r="D159" s="5">
        <v>11.0</v>
      </c>
      <c r="E159" s="6">
        <v>0.82</v>
      </c>
      <c r="F159" s="7">
        <v>22.3</v>
      </c>
      <c r="G159" s="6">
        <v>0.27</v>
      </c>
      <c r="H159" s="8">
        <v>0.044</v>
      </c>
      <c r="I159" s="8">
        <v>0.029892705282</v>
      </c>
      <c r="J159" s="9">
        <v>32.0</v>
      </c>
      <c r="K159" s="30">
        <f t="shared" si="1"/>
        <v>104042.88</v>
      </c>
      <c r="L159" s="13">
        <f t="shared" si="2"/>
        <v>0.001185375431</v>
      </c>
      <c r="M159" s="13">
        <f t="shared" si="3"/>
        <v>0.9712151333</v>
      </c>
      <c r="N159" s="37"/>
    </row>
    <row r="160">
      <c r="A160" s="3" t="s">
        <v>168</v>
      </c>
      <c r="B160" s="4">
        <v>17172.0</v>
      </c>
      <c r="C160" s="5">
        <v>7.0</v>
      </c>
      <c r="D160" s="5">
        <v>54.0</v>
      </c>
      <c r="E160" s="6">
        <v>0.51</v>
      </c>
      <c r="F160" s="7">
        <v>18.0</v>
      </c>
      <c r="G160" s="6">
        <v>0.3</v>
      </c>
      <c r="H160" s="8">
        <v>0.0464</v>
      </c>
      <c r="I160" s="8">
        <v>0.028557623693999997</v>
      </c>
      <c r="J160" s="9">
        <v>15.0</v>
      </c>
      <c r="K160" s="30">
        <f t="shared" si="1"/>
        <v>92728.8</v>
      </c>
      <c r="L160" s="13">
        <f t="shared" si="2"/>
        <v>0.001177966834</v>
      </c>
      <c r="M160" s="13">
        <f t="shared" si="3"/>
        <v>0.9723931001</v>
      </c>
      <c r="N160" s="37"/>
    </row>
    <row r="161">
      <c r="A161" s="3" t="s">
        <v>169</v>
      </c>
      <c r="B161" s="4">
        <v>16440.0</v>
      </c>
      <c r="C161" s="5">
        <v>7.0</v>
      </c>
      <c r="D161" s="5">
        <v>9.0</v>
      </c>
      <c r="E161" s="6">
        <v>0.07</v>
      </c>
      <c r="F161" s="7">
        <v>16.7</v>
      </c>
      <c r="G161" s="6">
        <v>0.3</v>
      </c>
      <c r="H161" s="8">
        <v>0.052</v>
      </c>
      <c r="I161" s="8">
        <v>0.028816190075999996</v>
      </c>
      <c r="J161" s="9">
        <v>25.0</v>
      </c>
      <c r="K161" s="30">
        <f t="shared" si="1"/>
        <v>82364.4</v>
      </c>
      <c r="L161" s="13">
        <f t="shared" si="2"/>
        <v>0.001127753014</v>
      </c>
      <c r="M161" s="13">
        <f t="shared" si="3"/>
        <v>0.9735208531</v>
      </c>
      <c r="N161" s="37"/>
    </row>
    <row r="162">
      <c r="A162" s="3" t="s">
        <v>170</v>
      </c>
      <c r="B162" s="4">
        <v>16320.0</v>
      </c>
      <c r="C162" s="5">
        <v>6.0</v>
      </c>
      <c r="D162" s="5">
        <v>15.0</v>
      </c>
      <c r="E162" s="6">
        <v>0.67</v>
      </c>
      <c r="F162" s="7">
        <v>24.6</v>
      </c>
      <c r="G162" s="6">
        <v>0.3</v>
      </c>
      <c r="H162" s="8">
        <v>0.0736</v>
      </c>
      <c r="I162" s="8">
        <v>0.010304711651999999</v>
      </c>
      <c r="J162" s="9">
        <v>17.0</v>
      </c>
      <c r="K162" s="30">
        <f t="shared" si="1"/>
        <v>120441.6</v>
      </c>
      <c r="L162" s="13">
        <f t="shared" si="2"/>
        <v>0.00111952124</v>
      </c>
      <c r="M162" s="13">
        <f t="shared" si="3"/>
        <v>0.9746403744</v>
      </c>
      <c r="N162" s="37"/>
    </row>
    <row r="163">
      <c r="A163" s="3" t="s">
        <v>171</v>
      </c>
      <c r="B163" s="4">
        <v>16224.0</v>
      </c>
      <c r="C163" s="5">
        <v>6.0</v>
      </c>
      <c r="D163" s="5">
        <v>23.0</v>
      </c>
      <c r="E163" s="6">
        <v>0.51</v>
      </c>
      <c r="F163" s="7">
        <v>20.0</v>
      </c>
      <c r="G163" s="6">
        <v>0.28</v>
      </c>
      <c r="H163" s="8">
        <v>0.0284</v>
      </c>
      <c r="I163" s="8">
        <v>0.028861417542</v>
      </c>
      <c r="J163" s="9">
        <v>14.0</v>
      </c>
      <c r="K163" s="30">
        <f t="shared" si="1"/>
        <v>90854.4</v>
      </c>
      <c r="L163" s="13">
        <f t="shared" si="2"/>
        <v>0.001112935821</v>
      </c>
      <c r="M163" s="13">
        <f t="shared" si="3"/>
        <v>0.9757533102</v>
      </c>
      <c r="N163" s="37"/>
    </row>
    <row r="164">
      <c r="A164" s="3" t="s">
        <v>172</v>
      </c>
      <c r="B164" s="4">
        <v>15120.0</v>
      </c>
      <c r="C164" s="5">
        <v>8.0</v>
      </c>
      <c r="D164" s="5">
        <v>29.0</v>
      </c>
      <c r="E164" s="6">
        <v>0.2</v>
      </c>
      <c r="F164" s="7">
        <v>17.1</v>
      </c>
      <c r="G164" s="6">
        <v>0.3</v>
      </c>
      <c r="H164" s="8">
        <v>0.0832</v>
      </c>
      <c r="I164" s="8">
        <v>0.014155418298</v>
      </c>
      <c r="J164" s="9">
        <v>3.0</v>
      </c>
      <c r="K164" s="30">
        <f t="shared" si="1"/>
        <v>77565.6</v>
      </c>
      <c r="L164" s="13">
        <f t="shared" si="2"/>
        <v>0.001037203502</v>
      </c>
      <c r="M164" s="13">
        <f t="shared" si="3"/>
        <v>0.9767905137</v>
      </c>
      <c r="N164" s="37"/>
    </row>
    <row r="165">
      <c r="A165" s="3" t="s">
        <v>173</v>
      </c>
      <c r="B165" s="4">
        <v>14904.0</v>
      </c>
      <c r="C165" s="5">
        <v>7.0</v>
      </c>
      <c r="D165" s="5">
        <v>23.0</v>
      </c>
      <c r="E165" s="6">
        <v>0.31</v>
      </c>
      <c r="F165" s="7">
        <v>17.5</v>
      </c>
      <c r="G165" s="6">
        <v>0.3</v>
      </c>
      <c r="H165" s="8">
        <v>0.0252</v>
      </c>
      <c r="I165" s="8">
        <v>0.02353482999</v>
      </c>
      <c r="J165" s="9">
        <v>3.0</v>
      </c>
      <c r="K165" s="30">
        <f t="shared" si="1"/>
        <v>78246</v>
      </c>
      <c r="L165" s="13">
        <f t="shared" si="2"/>
        <v>0.001022386309</v>
      </c>
      <c r="M165" s="13">
        <f t="shared" si="3"/>
        <v>0.9778129</v>
      </c>
      <c r="N165" s="37"/>
    </row>
    <row r="166">
      <c r="A166" s="3" t="s">
        <v>174</v>
      </c>
      <c r="B166" s="4">
        <v>14784.0</v>
      </c>
      <c r="C166" s="5">
        <v>14.0</v>
      </c>
      <c r="D166" s="5">
        <v>43.0</v>
      </c>
      <c r="E166" s="6">
        <v>0.23</v>
      </c>
      <c r="F166" s="7">
        <v>14.9</v>
      </c>
      <c r="G166" s="6">
        <v>0.26</v>
      </c>
      <c r="H166" s="8">
        <v>0.0</v>
      </c>
      <c r="I166" s="8">
        <v>0.016803891624</v>
      </c>
      <c r="J166" s="9">
        <v>4.0</v>
      </c>
      <c r="K166" s="30">
        <f t="shared" si="1"/>
        <v>57273.216</v>
      </c>
      <c r="L166" s="13">
        <f t="shared" si="2"/>
        <v>0.001014154535</v>
      </c>
      <c r="M166" s="13">
        <f t="shared" si="3"/>
        <v>0.9788270545</v>
      </c>
      <c r="N166" s="37"/>
    </row>
    <row r="167">
      <c r="A167" s="3" t="s">
        <v>175</v>
      </c>
      <c r="B167" s="4">
        <v>14520.0</v>
      </c>
      <c r="C167" s="5">
        <v>6.0</v>
      </c>
      <c r="D167" s="5">
        <v>12.0</v>
      </c>
      <c r="E167" s="6">
        <v>0.68</v>
      </c>
      <c r="F167" s="7">
        <v>19.8</v>
      </c>
      <c r="G167" s="6">
        <v>0.3</v>
      </c>
      <c r="H167" s="8">
        <v>0.0592</v>
      </c>
      <c r="I167" s="8">
        <v>0.018657574374</v>
      </c>
      <c r="J167" s="9">
        <v>8.0</v>
      </c>
      <c r="K167" s="30">
        <f t="shared" si="1"/>
        <v>86248.8</v>
      </c>
      <c r="L167" s="13">
        <f t="shared" si="2"/>
        <v>0.0009960446327</v>
      </c>
      <c r="M167" s="13">
        <f t="shared" si="3"/>
        <v>0.9798230992</v>
      </c>
      <c r="N167" s="37"/>
    </row>
    <row r="168">
      <c r="A168" s="3" t="s">
        <v>176</v>
      </c>
      <c r="B168" s="4">
        <v>14364.0</v>
      </c>
      <c r="C168" s="5">
        <v>6.0</v>
      </c>
      <c r="D168" s="5">
        <v>7.0</v>
      </c>
      <c r="E168" s="6">
        <v>0.06</v>
      </c>
      <c r="F168" s="7">
        <v>26.9</v>
      </c>
      <c r="G168" s="6">
        <v>0.3</v>
      </c>
      <c r="H168" s="8">
        <v>0.0508</v>
      </c>
      <c r="I168" s="8">
        <v>0.021659550474000002</v>
      </c>
      <c r="J168" s="9">
        <v>15.0</v>
      </c>
      <c r="K168" s="30">
        <f t="shared" si="1"/>
        <v>115917.48</v>
      </c>
      <c r="L168" s="13">
        <f t="shared" si="2"/>
        <v>0.0009853433267</v>
      </c>
      <c r="M168" s="13">
        <f t="shared" si="3"/>
        <v>0.9808084425</v>
      </c>
      <c r="N168" s="37"/>
    </row>
    <row r="169">
      <c r="A169" s="3" t="s">
        <v>177</v>
      </c>
      <c r="B169" s="4">
        <v>14256.0</v>
      </c>
      <c r="C169" s="5">
        <v>8.0</v>
      </c>
      <c r="D169" s="5">
        <v>19.0</v>
      </c>
      <c r="E169" s="6">
        <v>0.87</v>
      </c>
      <c r="F169" s="7">
        <v>18.6</v>
      </c>
      <c r="G169" s="6">
        <v>0.3</v>
      </c>
      <c r="H169" s="8">
        <v>0.1252</v>
      </c>
      <c r="I169" s="8">
        <v>0.024076386930000002</v>
      </c>
      <c r="J169" s="9">
        <v>5.0</v>
      </c>
      <c r="K169" s="30">
        <f t="shared" si="1"/>
        <v>79548.48</v>
      </c>
      <c r="L169" s="13">
        <f t="shared" si="2"/>
        <v>0.0009779347303</v>
      </c>
      <c r="M169" s="13">
        <f t="shared" si="3"/>
        <v>0.9817863772</v>
      </c>
      <c r="N169" s="37"/>
    </row>
    <row r="170">
      <c r="A170" s="3" t="s">
        <v>178</v>
      </c>
      <c r="B170" s="4">
        <v>14112.0</v>
      </c>
      <c r="C170" s="5">
        <v>6.0</v>
      </c>
      <c r="D170" s="5">
        <v>27.0</v>
      </c>
      <c r="E170" s="6">
        <v>0.42</v>
      </c>
      <c r="F170" s="7">
        <v>15.8</v>
      </c>
      <c r="G170" s="6">
        <v>0.3</v>
      </c>
      <c r="H170" s="8">
        <v>0.0392</v>
      </c>
      <c r="I170" s="8">
        <v>0.024434145468</v>
      </c>
      <c r="J170" s="9">
        <v>14.0</v>
      </c>
      <c r="K170" s="30">
        <f t="shared" si="1"/>
        <v>66890.88</v>
      </c>
      <c r="L170" s="13">
        <f t="shared" si="2"/>
        <v>0.0009680566017</v>
      </c>
      <c r="M170" s="13">
        <f t="shared" si="3"/>
        <v>0.9827544338</v>
      </c>
      <c r="N170" s="37"/>
    </row>
    <row r="171">
      <c r="A171" s="3" t="s">
        <v>179</v>
      </c>
      <c r="B171" s="4">
        <v>13776.0</v>
      </c>
      <c r="C171" s="5">
        <v>9.0</v>
      </c>
      <c r="D171" s="5">
        <v>19.0</v>
      </c>
      <c r="E171" s="6">
        <v>0.52</v>
      </c>
      <c r="F171" s="7">
        <v>16.7</v>
      </c>
      <c r="G171" s="6">
        <v>0.29</v>
      </c>
      <c r="H171" s="8">
        <v>0.0328</v>
      </c>
      <c r="I171" s="8">
        <v>0.010077351383999998</v>
      </c>
      <c r="J171" s="9">
        <v>22.0</v>
      </c>
      <c r="K171" s="30">
        <f t="shared" si="1"/>
        <v>66717.168</v>
      </c>
      <c r="L171" s="13">
        <f t="shared" si="2"/>
        <v>0.000945007635</v>
      </c>
      <c r="M171" s="13">
        <f t="shared" si="3"/>
        <v>0.9836994415</v>
      </c>
      <c r="N171" s="37"/>
    </row>
    <row r="172">
      <c r="A172" s="3" t="s">
        <v>180</v>
      </c>
      <c r="B172" s="4">
        <v>12672.0</v>
      </c>
      <c r="C172" s="5">
        <v>8.0</v>
      </c>
      <c r="D172" s="5">
        <v>19.0</v>
      </c>
      <c r="E172" s="6">
        <v>0.63</v>
      </c>
      <c r="F172" s="7">
        <v>23.4</v>
      </c>
      <c r="G172" s="6">
        <v>0.3</v>
      </c>
      <c r="H172" s="8">
        <v>0.0492</v>
      </c>
      <c r="I172" s="8">
        <v>0.009803251068</v>
      </c>
      <c r="J172" s="9">
        <v>9.0</v>
      </c>
      <c r="K172" s="30">
        <f t="shared" si="1"/>
        <v>88957.44</v>
      </c>
      <c r="L172" s="13">
        <f t="shared" si="2"/>
        <v>0.0008692753158</v>
      </c>
      <c r="M172" s="13">
        <f t="shared" si="3"/>
        <v>0.9845687168</v>
      </c>
      <c r="N172" s="37"/>
    </row>
    <row r="173">
      <c r="A173" s="3" t="s">
        <v>181</v>
      </c>
      <c r="B173" s="4">
        <v>11748.0</v>
      </c>
      <c r="C173" s="5">
        <v>7.0</v>
      </c>
      <c r="D173" s="5">
        <v>16.0</v>
      </c>
      <c r="E173" s="6">
        <v>0.34</v>
      </c>
      <c r="F173" s="7">
        <v>14.9</v>
      </c>
      <c r="G173" s="6">
        <v>0.26</v>
      </c>
      <c r="H173" s="8">
        <v>0.0</v>
      </c>
      <c r="I173" s="8">
        <v>0.020941194264000002</v>
      </c>
      <c r="J173" s="9">
        <v>4.0</v>
      </c>
      <c r="K173" s="30">
        <f t="shared" si="1"/>
        <v>45511.752</v>
      </c>
      <c r="L173" s="13">
        <f t="shared" si="2"/>
        <v>0.0008058906573</v>
      </c>
      <c r="M173" s="13">
        <f t="shared" si="3"/>
        <v>0.9853746074</v>
      </c>
      <c r="N173" s="37"/>
    </row>
    <row r="174">
      <c r="A174" s="3" t="s">
        <v>182</v>
      </c>
      <c r="B174" s="4">
        <v>11664.0</v>
      </c>
      <c r="C174" s="5">
        <v>11.0</v>
      </c>
      <c r="D174" s="5">
        <v>69.0</v>
      </c>
      <c r="E174" s="6">
        <v>0.67</v>
      </c>
      <c r="F174" s="7">
        <v>25.1</v>
      </c>
      <c r="G174" s="6">
        <v>0.3</v>
      </c>
      <c r="H174" s="8">
        <v>0.044</v>
      </c>
      <c r="I174" s="8">
        <v>0.024423904463999998</v>
      </c>
      <c r="J174" s="9">
        <v>13.0</v>
      </c>
      <c r="K174" s="30">
        <f t="shared" si="1"/>
        <v>87829.92</v>
      </c>
      <c r="L174" s="13">
        <f t="shared" si="2"/>
        <v>0.0008001284157</v>
      </c>
      <c r="M174" s="13">
        <f t="shared" si="3"/>
        <v>0.9861747359</v>
      </c>
      <c r="N174" s="37"/>
    </row>
    <row r="175">
      <c r="A175" s="3" t="s">
        <v>183</v>
      </c>
      <c r="B175" s="4">
        <v>11460.0</v>
      </c>
      <c r="C175" s="5">
        <v>6.0</v>
      </c>
      <c r="D175" s="5">
        <v>26.0</v>
      </c>
      <c r="E175" s="6">
        <v>1.0</v>
      </c>
      <c r="F175" s="7">
        <v>14.4</v>
      </c>
      <c r="G175" s="6">
        <v>0.24</v>
      </c>
      <c r="H175" s="8">
        <v>0.0408</v>
      </c>
      <c r="I175" s="8">
        <v>0.013983325974</v>
      </c>
      <c r="J175" s="9">
        <v>26.0</v>
      </c>
      <c r="K175" s="30">
        <f t="shared" si="1"/>
        <v>39605.76</v>
      </c>
      <c r="L175" s="13">
        <f t="shared" si="2"/>
        <v>0.0007861344002</v>
      </c>
      <c r="M175" s="13">
        <f t="shared" si="3"/>
        <v>0.9869608703</v>
      </c>
      <c r="N175" s="37"/>
    </row>
    <row r="176">
      <c r="A176" s="3" t="s">
        <v>184</v>
      </c>
      <c r="B176" s="4">
        <v>11424.0</v>
      </c>
      <c r="C176" s="5">
        <v>10.0</v>
      </c>
      <c r="D176" s="5">
        <v>11.0</v>
      </c>
      <c r="E176" s="6">
        <v>0.58</v>
      </c>
      <c r="F176" s="7">
        <v>18.9</v>
      </c>
      <c r="G176" s="6">
        <v>0.28</v>
      </c>
      <c r="H176" s="8">
        <v>0.0812</v>
      </c>
      <c r="I176" s="8">
        <v>0.019640651904</v>
      </c>
      <c r="J176" s="9">
        <v>9.0</v>
      </c>
      <c r="K176" s="30">
        <f t="shared" si="1"/>
        <v>60455.808</v>
      </c>
      <c r="L176" s="13">
        <f t="shared" si="2"/>
        <v>0.000783664868</v>
      </c>
      <c r="M176" s="13">
        <f t="shared" si="3"/>
        <v>0.9877445351</v>
      </c>
      <c r="N176" s="37"/>
    </row>
    <row r="177">
      <c r="A177" s="3" t="s">
        <v>185</v>
      </c>
      <c r="B177" s="4">
        <v>11400.0</v>
      </c>
      <c r="C177" s="5">
        <v>6.0</v>
      </c>
      <c r="D177" s="5">
        <v>17.0</v>
      </c>
      <c r="E177" s="6">
        <v>0.98</v>
      </c>
      <c r="F177" s="7">
        <v>14.4</v>
      </c>
      <c r="G177" s="6">
        <v>0.3</v>
      </c>
      <c r="H177" s="8">
        <v>0.0276</v>
      </c>
      <c r="I177" s="8">
        <v>0.014944378368</v>
      </c>
      <c r="J177" s="9">
        <v>8.0</v>
      </c>
      <c r="K177" s="30">
        <f t="shared" si="1"/>
        <v>49248</v>
      </c>
      <c r="L177" s="13">
        <f t="shared" si="2"/>
        <v>0.0007820185133</v>
      </c>
      <c r="M177" s="13">
        <f t="shared" si="3"/>
        <v>0.9885265536</v>
      </c>
      <c r="N177" s="37"/>
    </row>
    <row r="178">
      <c r="A178" s="3" t="s">
        <v>186</v>
      </c>
      <c r="B178" s="4">
        <v>10248.0</v>
      </c>
      <c r="C178" s="5">
        <v>6.0</v>
      </c>
      <c r="D178" s="5">
        <v>13.0</v>
      </c>
      <c r="E178" s="6">
        <v>0.92</v>
      </c>
      <c r="F178" s="7">
        <v>20.8</v>
      </c>
      <c r="G178" s="6">
        <v>0.26</v>
      </c>
      <c r="H178" s="8">
        <v>0.0676</v>
      </c>
      <c r="I178" s="8">
        <v>0.010528988868</v>
      </c>
      <c r="J178" s="9">
        <v>23.0</v>
      </c>
      <c r="K178" s="30">
        <f t="shared" si="1"/>
        <v>55421.184</v>
      </c>
      <c r="L178" s="13">
        <f t="shared" si="2"/>
        <v>0.0007029934846</v>
      </c>
      <c r="M178" s="13">
        <f t="shared" si="3"/>
        <v>0.9892295471</v>
      </c>
      <c r="N178" s="37"/>
    </row>
    <row r="179">
      <c r="A179" s="3" t="s">
        <v>187</v>
      </c>
      <c r="B179" s="4">
        <v>10140.0</v>
      </c>
      <c r="C179" s="5">
        <v>6.0</v>
      </c>
      <c r="D179" s="5">
        <v>10.0</v>
      </c>
      <c r="E179" s="6">
        <v>0.73</v>
      </c>
      <c r="F179" s="7">
        <v>20.2</v>
      </c>
      <c r="G179" s="6">
        <v>0.3</v>
      </c>
      <c r="H179" s="8">
        <v>0.0476</v>
      </c>
      <c r="I179" s="8">
        <v>0.023329417332</v>
      </c>
      <c r="J179" s="9">
        <v>17.0</v>
      </c>
      <c r="K179" s="30">
        <f t="shared" si="1"/>
        <v>61448.4</v>
      </c>
      <c r="L179" s="13">
        <f t="shared" si="2"/>
        <v>0.0006955848881</v>
      </c>
      <c r="M179" s="13">
        <f t="shared" si="3"/>
        <v>0.989925132</v>
      </c>
      <c r="N179" s="37"/>
    </row>
    <row r="180">
      <c r="A180" s="3" t="s">
        <v>188</v>
      </c>
      <c r="B180" s="4">
        <v>10008.0</v>
      </c>
      <c r="C180" s="5">
        <v>6.0</v>
      </c>
      <c r="D180" s="5">
        <v>50.0</v>
      </c>
      <c r="E180" s="6">
        <v>0.05</v>
      </c>
      <c r="F180" s="7">
        <v>18.3</v>
      </c>
      <c r="G180" s="6">
        <v>0.3</v>
      </c>
      <c r="H180" s="8">
        <v>0.0532</v>
      </c>
      <c r="I180" s="8">
        <v>0.015528866412</v>
      </c>
      <c r="J180" s="9">
        <v>5.0</v>
      </c>
      <c r="K180" s="30">
        <f t="shared" si="1"/>
        <v>54943.92</v>
      </c>
      <c r="L180" s="13">
        <f t="shared" si="2"/>
        <v>0.0006865299369</v>
      </c>
      <c r="M180" s="13">
        <f t="shared" si="3"/>
        <v>0.990611662</v>
      </c>
      <c r="N180" s="37"/>
    </row>
    <row r="181">
      <c r="A181" s="3" t="s">
        <v>189</v>
      </c>
      <c r="B181" s="4">
        <v>9408.0</v>
      </c>
      <c r="C181" s="5">
        <v>6.0</v>
      </c>
      <c r="D181" s="5">
        <v>7.0</v>
      </c>
      <c r="E181" s="6">
        <v>0.29</v>
      </c>
      <c r="F181" s="7">
        <v>18.9</v>
      </c>
      <c r="G181" s="6">
        <v>0.3</v>
      </c>
      <c r="H181" s="8">
        <v>0.044</v>
      </c>
      <c r="I181" s="8">
        <v>0.014894273946</v>
      </c>
      <c r="J181" s="9">
        <v>22.0</v>
      </c>
      <c r="K181" s="30">
        <f t="shared" si="1"/>
        <v>53343.36</v>
      </c>
      <c r="L181" s="13">
        <f t="shared" si="2"/>
        <v>0.0006453710678</v>
      </c>
      <c r="M181" s="13">
        <f t="shared" si="3"/>
        <v>0.991257033</v>
      </c>
      <c r="N181" s="37"/>
    </row>
    <row r="182">
      <c r="A182" s="3" t="s">
        <v>190</v>
      </c>
      <c r="B182" s="4">
        <v>8880.0</v>
      </c>
      <c r="C182" s="5">
        <v>7.0</v>
      </c>
      <c r="D182" s="5">
        <v>11.0</v>
      </c>
      <c r="E182" s="6">
        <v>0.72</v>
      </c>
      <c r="F182" s="7">
        <v>15.7</v>
      </c>
      <c r="G182" s="6">
        <v>0.3</v>
      </c>
      <c r="H182" s="8">
        <v>0.0732</v>
      </c>
      <c r="I182" s="8">
        <v>0.013536627426</v>
      </c>
      <c r="J182" s="9">
        <v>4.0</v>
      </c>
      <c r="K182" s="30">
        <f t="shared" si="1"/>
        <v>41824.8</v>
      </c>
      <c r="L182" s="13">
        <f t="shared" si="2"/>
        <v>0.000609151263</v>
      </c>
      <c r="M182" s="13">
        <f t="shared" si="3"/>
        <v>0.9918661843</v>
      </c>
      <c r="N182" s="37"/>
    </row>
    <row r="183">
      <c r="A183" s="3" t="s">
        <v>191</v>
      </c>
      <c r="B183" s="4">
        <v>8256.0</v>
      </c>
      <c r="C183" s="5">
        <v>6.0</v>
      </c>
      <c r="D183" s="5">
        <v>8.0</v>
      </c>
      <c r="E183" s="6">
        <v>0.31</v>
      </c>
      <c r="F183" s="7">
        <v>17.5</v>
      </c>
      <c r="G183" s="6">
        <v>0.3</v>
      </c>
      <c r="H183" s="8">
        <v>0.0708</v>
      </c>
      <c r="I183" s="8">
        <v>0.016472173944</v>
      </c>
      <c r="J183" s="9">
        <v>11.0</v>
      </c>
      <c r="K183" s="30">
        <f t="shared" si="1"/>
        <v>43344</v>
      </c>
      <c r="L183" s="13">
        <f t="shared" si="2"/>
        <v>0.0005663460391</v>
      </c>
      <c r="M183" s="13">
        <f t="shared" si="3"/>
        <v>0.9924325303</v>
      </c>
      <c r="N183" s="37"/>
    </row>
    <row r="184">
      <c r="A184" s="3" t="s">
        <v>192</v>
      </c>
      <c r="B184" s="4">
        <v>8148.0</v>
      </c>
      <c r="C184" s="5">
        <v>6.0</v>
      </c>
      <c r="D184" s="5">
        <v>8.0</v>
      </c>
      <c r="E184" s="6">
        <v>0.33</v>
      </c>
      <c r="F184" s="7">
        <v>17.2</v>
      </c>
      <c r="G184" s="6">
        <v>0.3</v>
      </c>
      <c r="H184" s="8">
        <v>0.0432</v>
      </c>
      <c r="I184" s="8">
        <v>0.017461652735999998</v>
      </c>
      <c r="J184" s="9">
        <v>30.0</v>
      </c>
      <c r="K184" s="30">
        <f t="shared" si="1"/>
        <v>42043.68</v>
      </c>
      <c r="L184" s="13">
        <f t="shared" si="2"/>
        <v>0.0005589374426</v>
      </c>
      <c r="M184" s="13">
        <f t="shared" si="3"/>
        <v>0.9929914678</v>
      </c>
      <c r="N184" s="37"/>
    </row>
    <row r="185">
      <c r="A185" s="3" t="s">
        <v>193</v>
      </c>
      <c r="B185" s="4">
        <v>8064.0</v>
      </c>
      <c r="C185" s="5">
        <v>6.0</v>
      </c>
      <c r="D185" s="5">
        <v>33.0</v>
      </c>
      <c r="E185" s="6">
        <v>0.84</v>
      </c>
      <c r="F185" s="7">
        <v>11.7</v>
      </c>
      <c r="G185" s="6">
        <v>0.24</v>
      </c>
      <c r="H185" s="8">
        <v>0.0164</v>
      </c>
      <c r="I185" s="8">
        <v>0.014342800824</v>
      </c>
      <c r="J185" s="9">
        <v>8.0</v>
      </c>
      <c r="K185" s="30">
        <f t="shared" si="1"/>
        <v>22643.712</v>
      </c>
      <c r="L185" s="13">
        <f t="shared" si="2"/>
        <v>0.000553175201</v>
      </c>
      <c r="M185" s="13">
        <f t="shared" si="3"/>
        <v>0.993544643</v>
      </c>
      <c r="N185" s="37"/>
    </row>
    <row r="186">
      <c r="A186" s="3" t="s">
        <v>194</v>
      </c>
      <c r="B186" s="4">
        <v>7980.0</v>
      </c>
      <c r="C186" s="5">
        <v>6.0</v>
      </c>
      <c r="D186" s="5">
        <v>33.0</v>
      </c>
      <c r="E186" s="6">
        <v>0.99</v>
      </c>
      <c r="F186" s="7">
        <v>20.8</v>
      </c>
      <c r="G186" s="6">
        <v>0.27</v>
      </c>
      <c r="H186" s="8">
        <v>0.0312</v>
      </c>
      <c r="I186" s="8">
        <v>0.013036999577999999</v>
      </c>
      <c r="J186" s="9">
        <v>4.0</v>
      </c>
      <c r="K186" s="30">
        <f t="shared" si="1"/>
        <v>44815.68</v>
      </c>
      <c r="L186" s="13">
        <f t="shared" si="2"/>
        <v>0.0005474129593</v>
      </c>
      <c r="M186" s="13">
        <f t="shared" si="3"/>
        <v>0.9940920559</v>
      </c>
      <c r="N186" s="37"/>
    </row>
    <row r="187">
      <c r="A187" s="3" t="s">
        <v>195</v>
      </c>
      <c r="B187" s="4">
        <v>7584.0</v>
      </c>
      <c r="C187" s="5">
        <v>6.0</v>
      </c>
      <c r="D187" s="5">
        <v>9.0</v>
      </c>
      <c r="E187" s="6">
        <v>0.12</v>
      </c>
      <c r="F187" s="7">
        <v>25.0</v>
      </c>
      <c r="G187" s="6">
        <v>0.3</v>
      </c>
      <c r="H187" s="8">
        <v>0.0992</v>
      </c>
      <c r="I187" s="8">
        <v>0.014296707378</v>
      </c>
      <c r="J187" s="9">
        <v>17.0</v>
      </c>
      <c r="K187" s="30">
        <f t="shared" si="1"/>
        <v>56880</v>
      </c>
      <c r="L187" s="13">
        <f t="shared" si="2"/>
        <v>0.0005202481057</v>
      </c>
      <c r="M187" s="13">
        <f t="shared" si="3"/>
        <v>0.994612304</v>
      </c>
      <c r="N187" s="37"/>
    </row>
    <row r="188">
      <c r="A188" s="3" t="s">
        <v>196</v>
      </c>
      <c r="B188" s="4">
        <v>7560.0</v>
      </c>
      <c r="C188" s="5">
        <v>3.0</v>
      </c>
      <c r="D188" s="5">
        <v>6.0</v>
      </c>
      <c r="E188" s="6">
        <v>0.24</v>
      </c>
      <c r="F188" s="7">
        <v>14.0</v>
      </c>
      <c r="G188" s="6">
        <v>0.27</v>
      </c>
      <c r="H188" s="8">
        <v>0.0456</v>
      </c>
      <c r="I188" s="8">
        <v>0.010352773356000001</v>
      </c>
      <c r="J188" s="9">
        <v>6.0</v>
      </c>
      <c r="K188" s="30">
        <f t="shared" si="1"/>
        <v>28576.8</v>
      </c>
      <c r="L188" s="13">
        <f t="shared" si="2"/>
        <v>0.0005186017509</v>
      </c>
      <c r="M188" s="13">
        <f t="shared" si="3"/>
        <v>0.9951309058</v>
      </c>
      <c r="N188" s="37"/>
    </row>
    <row r="189">
      <c r="A189" s="3" t="s">
        <v>197</v>
      </c>
      <c r="B189" s="4">
        <v>7440.0</v>
      </c>
      <c r="C189" s="5">
        <v>7.0</v>
      </c>
      <c r="D189" s="5">
        <v>9.0</v>
      </c>
      <c r="E189" s="6">
        <v>0.36</v>
      </c>
      <c r="F189" s="7">
        <v>17.6</v>
      </c>
      <c r="G189" s="6">
        <v>0.29</v>
      </c>
      <c r="H189" s="8">
        <v>0.032</v>
      </c>
      <c r="I189" s="8">
        <v>0.024672238686</v>
      </c>
      <c r="J189" s="9">
        <v>22.0</v>
      </c>
      <c r="K189" s="30">
        <f t="shared" si="1"/>
        <v>37973.76</v>
      </c>
      <c r="L189" s="13">
        <f t="shared" si="2"/>
        <v>0.0005103699771</v>
      </c>
      <c r="M189" s="13">
        <f t="shared" si="3"/>
        <v>0.9956412758</v>
      </c>
      <c r="N189" s="37"/>
    </row>
    <row r="190">
      <c r="A190" s="3" t="s">
        <v>198</v>
      </c>
      <c r="B190" s="4">
        <v>7128.0</v>
      </c>
      <c r="C190" s="5">
        <v>7.0</v>
      </c>
      <c r="D190" s="5">
        <v>8.0</v>
      </c>
      <c r="E190" s="6">
        <v>0.86</v>
      </c>
      <c r="F190" s="7">
        <v>14.2</v>
      </c>
      <c r="G190" s="6">
        <v>0.3</v>
      </c>
      <c r="H190" s="8">
        <v>0.0384</v>
      </c>
      <c r="I190" s="8">
        <v>0.022783063133999998</v>
      </c>
      <c r="J190" s="9">
        <v>21.0</v>
      </c>
      <c r="K190" s="30">
        <f t="shared" si="1"/>
        <v>30365.28</v>
      </c>
      <c r="L190" s="13">
        <f t="shared" si="2"/>
        <v>0.0004889673651</v>
      </c>
      <c r="M190" s="13">
        <f t="shared" si="3"/>
        <v>0.9961302431</v>
      </c>
      <c r="N190" s="37"/>
    </row>
    <row r="191">
      <c r="A191" s="3" t="s">
        <v>199</v>
      </c>
      <c r="B191" s="4">
        <v>7128.0</v>
      </c>
      <c r="C191" s="5">
        <v>7.0</v>
      </c>
      <c r="D191" s="5">
        <v>20.0</v>
      </c>
      <c r="E191" s="6">
        <v>0.69</v>
      </c>
      <c r="F191" s="7">
        <v>18.7</v>
      </c>
      <c r="G191" s="6">
        <v>0.3</v>
      </c>
      <c r="H191" s="8">
        <v>0.036</v>
      </c>
      <c r="I191" s="8">
        <v>0.013478715623999998</v>
      </c>
      <c r="J191" s="9">
        <v>16.0</v>
      </c>
      <c r="K191" s="30">
        <f t="shared" si="1"/>
        <v>39988.08</v>
      </c>
      <c r="L191" s="13">
        <f t="shared" si="2"/>
        <v>0.0004889673651</v>
      </c>
      <c r="M191" s="13">
        <f t="shared" si="3"/>
        <v>0.9966192105</v>
      </c>
      <c r="N191" s="37"/>
    </row>
    <row r="192">
      <c r="A192" s="3" t="s">
        <v>200</v>
      </c>
      <c r="B192" s="4">
        <v>6840.0</v>
      </c>
      <c r="C192" s="5">
        <v>7.0</v>
      </c>
      <c r="D192" s="5">
        <v>16.0</v>
      </c>
      <c r="E192" s="6">
        <v>0.84</v>
      </c>
      <c r="F192" s="7">
        <v>20.4</v>
      </c>
      <c r="G192" s="6">
        <v>0.29</v>
      </c>
      <c r="H192" s="8">
        <v>0.0572</v>
      </c>
      <c r="I192" s="8">
        <v>0.015056923877999999</v>
      </c>
      <c r="J192" s="9">
        <v>14.0</v>
      </c>
      <c r="K192" s="30">
        <f t="shared" si="1"/>
        <v>40465.44</v>
      </c>
      <c r="L192" s="13">
        <f t="shared" si="2"/>
        <v>0.000469211108</v>
      </c>
      <c r="M192" s="13">
        <f t="shared" si="3"/>
        <v>0.9970884216</v>
      </c>
      <c r="N192" s="37"/>
    </row>
    <row r="193">
      <c r="A193" s="3" t="s">
        <v>201</v>
      </c>
      <c r="B193" s="4">
        <v>6732.0</v>
      </c>
      <c r="C193" s="5">
        <v>7.0</v>
      </c>
      <c r="D193" s="5">
        <v>13.0</v>
      </c>
      <c r="E193" s="6">
        <v>0.82</v>
      </c>
      <c r="F193" s="7">
        <v>15.0</v>
      </c>
      <c r="G193" s="6">
        <v>0.25</v>
      </c>
      <c r="H193" s="8">
        <v>0.088</v>
      </c>
      <c r="I193" s="8">
        <v>0.019217141579999996</v>
      </c>
      <c r="J193" s="9">
        <v>4.0</v>
      </c>
      <c r="K193" s="30">
        <f t="shared" si="1"/>
        <v>25245</v>
      </c>
      <c r="L193" s="13">
        <f t="shared" si="2"/>
        <v>0.0004618025115</v>
      </c>
      <c r="M193" s="13">
        <f t="shared" si="3"/>
        <v>0.9975502241</v>
      </c>
      <c r="N193" s="37"/>
    </row>
    <row r="194">
      <c r="A194" s="3" t="s">
        <v>202</v>
      </c>
      <c r="B194" s="4">
        <v>6432.0</v>
      </c>
      <c r="C194" s="5">
        <v>6.0</v>
      </c>
      <c r="D194" s="5">
        <v>32.0</v>
      </c>
      <c r="E194" s="6">
        <v>0.01</v>
      </c>
      <c r="F194" s="7">
        <v>25.0</v>
      </c>
      <c r="G194" s="6">
        <v>0.16</v>
      </c>
      <c r="H194" s="8">
        <v>0.0548</v>
      </c>
      <c r="I194" s="8">
        <v>0.014408406779999999</v>
      </c>
      <c r="J194" s="9">
        <v>6.0</v>
      </c>
      <c r="K194" s="30">
        <f t="shared" si="1"/>
        <v>25728</v>
      </c>
      <c r="L194" s="13">
        <f t="shared" si="2"/>
        <v>0.000441223077</v>
      </c>
      <c r="M194" s="13">
        <f t="shared" si="3"/>
        <v>0.9979914472</v>
      </c>
      <c r="N194" s="37"/>
    </row>
    <row r="195">
      <c r="A195" s="3" t="s">
        <v>203</v>
      </c>
      <c r="B195" s="4">
        <v>6240.0</v>
      </c>
      <c r="C195" s="5">
        <v>7.0</v>
      </c>
      <c r="D195" s="5">
        <v>28.0</v>
      </c>
      <c r="E195" s="6">
        <v>0.85</v>
      </c>
      <c r="F195" s="7">
        <v>16.3</v>
      </c>
      <c r="G195" s="6">
        <v>0.25</v>
      </c>
      <c r="H195" s="8">
        <v>0.048</v>
      </c>
      <c r="I195" s="8">
        <v>0.014463046061999999</v>
      </c>
      <c r="J195" s="9">
        <v>26.0</v>
      </c>
      <c r="K195" s="30">
        <f t="shared" si="1"/>
        <v>25428</v>
      </c>
      <c r="L195" s="13">
        <f t="shared" si="2"/>
        <v>0.0004280522388</v>
      </c>
      <c r="M195" s="13">
        <f t="shared" si="3"/>
        <v>0.9984194994</v>
      </c>
      <c r="N195" s="37"/>
    </row>
    <row r="196">
      <c r="A196" s="3" t="s">
        <v>204</v>
      </c>
      <c r="B196" s="4">
        <v>5376.0</v>
      </c>
      <c r="C196" s="5">
        <v>6.0</v>
      </c>
      <c r="D196" s="5">
        <v>26.0</v>
      </c>
      <c r="E196" s="6">
        <v>0.32</v>
      </c>
      <c r="F196" s="7">
        <v>22.0</v>
      </c>
      <c r="G196" s="6">
        <v>0.3</v>
      </c>
      <c r="H196" s="8">
        <v>0.0716</v>
      </c>
      <c r="I196" s="8">
        <v>0.01251165024</v>
      </c>
      <c r="J196" s="9">
        <v>10.0</v>
      </c>
      <c r="K196" s="30">
        <f t="shared" si="1"/>
        <v>35481.6</v>
      </c>
      <c r="L196" s="13">
        <f t="shared" si="2"/>
        <v>0.0003687834673</v>
      </c>
      <c r="M196" s="13">
        <f t="shared" si="3"/>
        <v>0.9987882829</v>
      </c>
      <c r="N196" s="37"/>
    </row>
    <row r="197">
      <c r="A197" s="3" t="s">
        <v>205</v>
      </c>
      <c r="B197" s="4">
        <v>4536.0</v>
      </c>
      <c r="C197" s="5">
        <v>6.0</v>
      </c>
      <c r="D197" s="5">
        <v>55.0</v>
      </c>
      <c r="E197" s="6">
        <v>0.09</v>
      </c>
      <c r="F197" s="7">
        <v>16.4</v>
      </c>
      <c r="G197" s="6">
        <v>0.3</v>
      </c>
      <c r="H197" s="8">
        <v>0.0048</v>
      </c>
      <c r="I197" s="8">
        <v>0.014368164102</v>
      </c>
      <c r="J197" s="9">
        <v>6.0</v>
      </c>
      <c r="K197" s="30">
        <f t="shared" si="1"/>
        <v>22317.12</v>
      </c>
      <c r="L197" s="13">
        <f t="shared" si="2"/>
        <v>0.0003111610505</v>
      </c>
      <c r="M197" s="13">
        <f t="shared" si="3"/>
        <v>0.9990994439</v>
      </c>
      <c r="N197" s="37"/>
    </row>
    <row r="198">
      <c r="A198" s="3" t="s">
        <v>206</v>
      </c>
      <c r="B198" s="4">
        <v>4032.0</v>
      </c>
      <c r="C198" s="5">
        <v>6.0</v>
      </c>
      <c r="D198" s="5">
        <v>9.0</v>
      </c>
      <c r="E198" s="6">
        <v>0.9</v>
      </c>
      <c r="F198" s="7">
        <v>20.9</v>
      </c>
      <c r="G198" s="6">
        <v>0.3</v>
      </c>
      <c r="H198" s="8">
        <v>0.092</v>
      </c>
      <c r="I198" s="8">
        <v>0.013667971271999998</v>
      </c>
      <c r="J198" s="9">
        <v>25.0</v>
      </c>
      <c r="K198" s="30">
        <f t="shared" si="1"/>
        <v>25280.64</v>
      </c>
      <c r="L198" s="13">
        <f t="shared" si="2"/>
        <v>0.0002765876005</v>
      </c>
      <c r="M198" s="13">
        <f t="shared" si="3"/>
        <v>0.9993760315</v>
      </c>
      <c r="N198" s="37"/>
    </row>
    <row r="199">
      <c r="A199" s="3" t="s">
        <v>207</v>
      </c>
      <c r="B199" s="4">
        <v>3264.0</v>
      </c>
      <c r="C199" s="5">
        <v>6.0</v>
      </c>
      <c r="D199" s="5">
        <v>41.0</v>
      </c>
      <c r="E199" s="6">
        <v>0.12</v>
      </c>
      <c r="F199" s="7">
        <v>21.6</v>
      </c>
      <c r="G199" s="6">
        <v>0.26</v>
      </c>
      <c r="H199" s="8">
        <v>0.0808</v>
      </c>
      <c r="I199" s="8">
        <v>0.016318170995999998</v>
      </c>
      <c r="J199" s="9">
        <v>14.0</v>
      </c>
      <c r="K199" s="30">
        <f t="shared" si="1"/>
        <v>18330.624</v>
      </c>
      <c r="L199" s="13">
        <f t="shared" si="2"/>
        <v>0.000223904248</v>
      </c>
      <c r="M199" s="13">
        <f t="shared" si="3"/>
        <v>0.9995999358</v>
      </c>
      <c r="N199" s="37"/>
    </row>
    <row r="200">
      <c r="A200" s="3" t="s">
        <v>208</v>
      </c>
      <c r="B200" s="4">
        <v>3240.0</v>
      </c>
      <c r="C200" s="5">
        <v>6.0</v>
      </c>
      <c r="D200" s="5">
        <v>7.0</v>
      </c>
      <c r="E200" s="6">
        <v>0.02</v>
      </c>
      <c r="F200" s="7">
        <v>18.3</v>
      </c>
      <c r="G200" s="6">
        <v>0.16</v>
      </c>
      <c r="H200" s="8">
        <v>0.1088</v>
      </c>
      <c r="I200" s="8">
        <v>0.013709469336</v>
      </c>
      <c r="J200" s="9">
        <v>5.0</v>
      </c>
      <c r="K200" s="30">
        <f t="shared" si="1"/>
        <v>9486.72</v>
      </c>
      <c r="L200" s="13">
        <f t="shared" si="2"/>
        <v>0.0002222578932</v>
      </c>
      <c r="M200" s="13">
        <f t="shared" si="3"/>
        <v>0.9998221937</v>
      </c>
      <c r="N200" s="37"/>
    </row>
    <row r="201">
      <c r="A201" s="3" t="s">
        <v>209</v>
      </c>
      <c r="B201" s="4">
        <v>2592.0</v>
      </c>
      <c r="C201" s="5">
        <v>6.0</v>
      </c>
      <c r="D201" s="5">
        <v>38.0</v>
      </c>
      <c r="E201" s="6">
        <v>0.39</v>
      </c>
      <c r="F201" s="7">
        <v>28.3</v>
      </c>
      <c r="G201" s="6">
        <v>0.26</v>
      </c>
      <c r="H201" s="8">
        <v>0.092</v>
      </c>
      <c r="I201" s="8">
        <v>0.01303672452</v>
      </c>
      <c r="J201" s="9">
        <v>6.0</v>
      </c>
      <c r="K201" s="30">
        <f t="shared" si="1"/>
        <v>19071.936</v>
      </c>
      <c r="L201" s="13">
        <f t="shared" si="2"/>
        <v>0.0001778063146</v>
      </c>
      <c r="M201" s="13">
        <f t="shared" si="3"/>
        <v>1</v>
      </c>
      <c r="N201" s="37"/>
    </row>
    <row r="202">
      <c r="L202" s="13"/>
      <c r="M202" s="13"/>
    </row>
    <row r="203">
      <c r="L203" s="13"/>
      <c r="M203" s="13"/>
    </row>
    <row r="204">
      <c r="L204" s="13"/>
      <c r="M204" s="13"/>
    </row>
    <row r="205">
      <c r="L205" s="13"/>
      <c r="M205" s="13"/>
    </row>
    <row r="206">
      <c r="L206" s="13"/>
      <c r="M206" s="13"/>
    </row>
    <row r="207">
      <c r="L207" s="13"/>
      <c r="M207" s="13"/>
    </row>
    <row r="208">
      <c r="L208" s="13"/>
      <c r="M208" s="13"/>
    </row>
    <row r="209">
      <c r="L209" s="13"/>
      <c r="M209" s="13"/>
    </row>
    <row r="210">
      <c r="L210" s="13"/>
      <c r="M210" s="13"/>
    </row>
    <row r="211">
      <c r="L211" s="13"/>
      <c r="M211" s="13"/>
    </row>
    <row r="212">
      <c r="L212" s="13"/>
      <c r="M212" s="13"/>
    </row>
    <row r="213">
      <c r="L213" s="13"/>
      <c r="M213" s="13"/>
    </row>
    <row r="214">
      <c r="L214" s="13"/>
      <c r="M214" s="13"/>
    </row>
    <row r="215">
      <c r="L215" s="13"/>
      <c r="M215" s="13"/>
    </row>
    <row r="216">
      <c r="L216" s="13"/>
      <c r="M216" s="13"/>
    </row>
    <row r="217">
      <c r="L217" s="13"/>
      <c r="M217" s="13"/>
    </row>
    <row r="218">
      <c r="L218" s="13"/>
      <c r="M218" s="13"/>
    </row>
    <row r="219">
      <c r="L219" s="13"/>
      <c r="M219" s="13"/>
    </row>
    <row r="220">
      <c r="L220" s="13"/>
      <c r="M220" s="13"/>
    </row>
    <row r="221">
      <c r="L221" s="13"/>
      <c r="M221" s="13"/>
    </row>
    <row r="222">
      <c r="L222" s="13"/>
      <c r="M222" s="13"/>
    </row>
    <row r="223">
      <c r="L223" s="13"/>
      <c r="M223" s="13"/>
    </row>
    <row r="224">
      <c r="L224" s="13"/>
      <c r="M224" s="13"/>
    </row>
    <row r="225">
      <c r="L225" s="13"/>
      <c r="M225" s="13"/>
    </row>
    <row r="226">
      <c r="L226" s="13"/>
      <c r="M226" s="13"/>
    </row>
    <row r="227">
      <c r="L227" s="13"/>
      <c r="M227" s="13"/>
    </row>
    <row r="228">
      <c r="L228" s="13"/>
      <c r="M228" s="13"/>
    </row>
    <row r="229">
      <c r="L229" s="13"/>
      <c r="M229" s="13"/>
    </row>
    <row r="230">
      <c r="L230" s="13"/>
      <c r="M230" s="13"/>
    </row>
    <row r="231">
      <c r="L231" s="13"/>
      <c r="M231" s="13"/>
    </row>
    <row r="232">
      <c r="L232" s="13"/>
      <c r="M232" s="13"/>
    </row>
    <row r="233">
      <c r="L233" s="13"/>
      <c r="M233" s="13"/>
    </row>
    <row r="234">
      <c r="L234" s="13"/>
      <c r="M234" s="13"/>
    </row>
    <row r="235">
      <c r="L235" s="13"/>
      <c r="M235" s="13"/>
    </row>
    <row r="236">
      <c r="L236" s="13"/>
      <c r="M236" s="13"/>
    </row>
    <row r="237">
      <c r="L237" s="13"/>
      <c r="M237" s="13"/>
    </row>
    <row r="238">
      <c r="L238" s="13"/>
      <c r="M238" s="13"/>
    </row>
    <row r="239">
      <c r="L239" s="13"/>
      <c r="M239" s="13"/>
    </row>
    <row r="240">
      <c r="L240" s="13"/>
      <c r="M240" s="13"/>
    </row>
    <row r="241">
      <c r="L241" s="13"/>
      <c r="M241" s="13"/>
    </row>
    <row r="242">
      <c r="L242" s="13"/>
      <c r="M242" s="13"/>
    </row>
    <row r="243">
      <c r="L243" s="13"/>
      <c r="M243" s="13"/>
    </row>
    <row r="244">
      <c r="L244" s="13"/>
      <c r="M244" s="13"/>
    </row>
    <row r="245">
      <c r="L245" s="13"/>
      <c r="M245" s="13"/>
    </row>
    <row r="246">
      <c r="L246" s="13"/>
      <c r="M246" s="13"/>
    </row>
    <row r="247">
      <c r="L247" s="13"/>
      <c r="M247" s="13"/>
    </row>
    <row r="248">
      <c r="L248" s="13"/>
      <c r="M248" s="13"/>
    </row>
    <row r="249">
      <c r="L249" s="13"/>
      <c r="M249" s="13"/>
    </row>
    <row r="250">
      <c r="L250" s="13"/>
      <c r="M250" s="13"/>
    </row>
    <row r="251">
      <c r="L251" s="13"/>
      <c r="M251" s="13"/>
    </row>
    <row r="252">
      <c r="L252" s="13"/>
      <c r="M252" s="13"/>
    </row>
    <row r="253">
      <c r="L253" s="13"/>
      <c r="M253" s="13"/>
    </row>
    <row r="254">
      <c r="L254" s="13"/>
      <c r="M254" s="13"/>
    </row>
    <row r="255">
      <c r="L255" s="13"/>
      <c r="M255" s="13"/>
    </row>
    <row r="256">
      <c r="L256" s="13"/>
      <c r="M256" s="13"/>
    </row>
    <row r="257">
      <c r="L257" s="13"/>
      <c r="M257" s="13"/>
    </row>
    <row r="258">
      <c r="L258" s="13"/>
      <c r="M258" s="13"/>
    </row>
    <row r="259">
      <c r="L259" s="13"/>
      <c r="M259" s="13"/>
    </row>
    <row r="260">
      <c r="L260" s="13"/>
      <c r="M260" s="13"/>
    </row>
    <row r="261">
      <c r="L261" s="13"/>
      <c r="M261" s="13"/>
    </row>
    <row r="262">
      <c r="L262" s="13"/>
      <c r="M262" s="13"/>
    </row>
    <row r="263">
      <c r="L263" s="13"/>
      <c r="M263" s="13"/>
    </row>
    <row r="264">
      <c r="L264" s="13"/>
      <c r="M264" s="13"/>
    </row>
    <row r="265">
      <c r="L265" s="13"/>
      <c r="M265" s="13"/>
    </row>
    <row r="266">
      <c r="L266" s="13"/>
      <c r="M266" s="13"/>
    </row>
    <row r="267">
      <c r="L267" s="13"/>
      <c r="M267" s="13"/>
    </row>
    <row r="268">
      <c r="L268" s="13"/>
      <c r="M268" s="13"/>
    </row>
    <row r="269">
      <c r="L269" s="13"/>
      <c r="M269" s="13"/>
    </row>
    <row r="270">
      <c r="L270" s="13"/>
      <c r="M270" s="13"/>
    </row>
    <row r="271">
      <c r="L271" s="13"/>
      <c r="M271" s="13"/>
    </row>
    <row r="272">
      <c r="L272" s="13"/>
      <c r="M272" s="13"/>
    </row>
    <row r="273">
      <c r="L273" s="13"/>
      <c r="M273" s="13"/>
    </row>
    <row r="274">
      <c r="L274" s="13"/>
      <c r="M274" s="13"/>
    </row>
    <row r="275">
      <c r="L275" s="13"/>
      <c r="M275" s="13"/>
    </row>
    <row r="276">
      <c r="L276" s="13"/>
      <c r="M276" s="13"/>
    </row>
    <row r="277">
      <c r="L277" s="13"/>
      <c r="M277" s="13"/>
    </row>
    <row r="278">
      <c r="L278" s="13"/>
      <c r="M278" s="13"/>
    </row>
    <row r="279">
      <c r="L279" s="13"/>
      <c r="M279" s="13"/>
    </row>
    <row r="280">
      <c r="L280" s="13"/>
      <c r="M280" s="13"/>
    </row>
    <row r="281">
      <c r="L281" s="13"/>
      <c r="M281" s="13"/>
    </row>
    <row r="282">
      <c r="L282" s="13"/>
      <c r="M282" s="13"/>
    </row>
    <row r="283">
      <c r="L283" s="13"/>
      <c r="M283" s="13"/>
    </row>
    <row r="284">
      <c r="L284" s="13"/>
      <c r="M284" s="13"/>
    </row>
    <row r="285">
      <c r="L285" s="13"/>
      <c r="M285" s="13"/>
    </row>
    <row r="286">
      <c r="L286" s="13"/>
      <c r="M286" s="13"/>
    </row>
    <row r="287">
      <c r="L287" s="13"/>
      <c r="M287" s="13"/>
    </row>
    <row r="288">
      <c r="L288" s="13"/>
      <c r="M288" s="13"/>
    </row>
    <row r="289">
      <c r="L289" s="13"/>
      <c r="M289" s="13"/>
    </row>
    <row r="290">
      <c r="L290" s="13"/>
      <c r="M290" s="13"/>
    </row>
    <row r="291">
      <c r="L291" s="13"/>
      <c r="M291" s="13"/>
    </row>
    <row r="292">
      <c r="L292" s="13"/>
      <c r="M292" s="13"/>
    </row>
    <row r="293">
      <c r="L293" s="13"/>
      <c r="M293" s="13"/>
    </row>
    <row r="294">
      <c r="L294" s="13"/>
      <c r="M294" s="13"/>
    </row>
    <row r="295">
      <c r="L295" s="13"/>
      <c r="M295" s="13"/>
    </row>
    <row r="296">
      <c r="L296" s="13"/>
      <c r="M296" s="13"/>
    </row>
    <row r="297">
      <c r="L297" s="13"/>
      <c r="M297" s="13"/>
    </row>
    <row r="298">
      <c r="L298" s="13"/>
      <c r="M298" s="13"/>
    </row>
    <row r="299">
      <c r="L299" s="13"/>
      <c r="M299" s="13"/>
    </row>
    <row r="300">
      <c r="L300" s="13"/>
      <c r="M300" s="13"/>
    </row>
    <row r="301">
      <c r="L301" s="13"/>
      <c r="M301" s="13"/>
    </row>
    <row r="302">
      <c r="L302" s="13"/>
      <c r="M302" s="13"/>
    </row>
    <row r="303">
      <c r="L303" s="13"/>
      <c r="M303" s="13"/>
    </row>
    <row r="304">
      <c r="L304" s="13"/>
      <c r="M304" s="13"/>
    </row>
    <row r="305">
      <c r="L305" s="13"/>
      <c r="M305" s="13"/>
    </row>
    <row r="306">
      <c r="L306" s="13"/>
      <c r="M306" s="13"/>
    </row>
    <row r="307">
      <c r="L307" s="13"/>
      <c r="M307" s="13"/>
    </row>
    <row r="308">
      <c r="L308" s="13"/>
      <c r="M308" s="13"/>
    </row>
    <row r="309">
      <c r="L309" s="13"/>
      <c r="M309" s="13"/>
    </row>
    <row r="310">
      <c r="L310" s="13"/>
      <c r="M310" s="13"/>
    </row>
    <row r="311">
      <c r="L311" s="13"/>
      <c r="M311" s="13"/>
    </row>
    <row r="312">
      <c r="L312" s="13"/>
      <c r="M312" s="13"/>
    </row>
    <row r="313">
      <c r="L313" s="13"/>
      <c r="M313" s="13"/>
    </row>
    <row r="314">
      <c r="L314" s="13"/>
      <c r="M314" s="13"/>
    </row>
    <row r="315">
      <c r="L315" s="13"/>
      <c r="M315" s="13"/>
    </row>
    <row r="316">
      <c r="L316" s="13"/>
      <c r="M316" s="13"/>
    </row>
    <row r="317">
      <c r="L317" s="13"/>
      <c r="M317" s="13"/>
    </row>
    <row r="318">
      <c r="L318" s="13"/>
      <c r="M318" s="13"/>
    </row>
    <row r="319">
      <c r="L319" s="13"/>
      <c r="M319" s="13"/>
    </row>
    <row r="320">
      <c r="L320" s="13"/>
      <c r="M320" s="13"/>
    </row>
    <row r="321">
      <c r="L321" s="13"/>
      <c r="M321" s="13"/>
    </row>
    <row r="322">
      <c r="L322" s="13"/>
      <c r="M322" s="13"/>
    </row>
    <row r="323">
      <c r="L323" s="13"/>
      <c r="M323" s="13"/>
    </row>
    <row r="324">
      <c r="L324" s="13"/>
      <c r="M324" s="13"/>
    </row>
    <row r="325">
      <c r="L325" s="13"/>
      <c r="M325" s="13"/>
    </row>
    <row r="326">
      <c r="L326" s="13"/>
      <c r="M326" s="13"/>
    </row>
    <row r="327">
      <c r="L327" s="13"/>
      <c r="M327" s="13"/>
    </row>
    <row r="328">
      <c r="L328" s="13"/>
      <c r="M328" s="13"/>
    </row>
    <row r="329">
      <c r="L329" s="13"/>
      <c r="M329" s="13"/>
    </row>
    <row r="330">
      <c r="L330" s="13"/>
      <c r="M330" s="13"/>
    </row>
    <row r="331">
      <c r="L331" s="13"/>
      <c r="M331" s="13"/>
    </row>
    <row r="332">
      <c r="L332" s="13"/>
      <c r="M332" s="13"/>
    </row>
    <row r="333">
      <c r="L333" s="13"/>
      <c r="M333" s="13"/>
    </row>
    <row r="334">
      <c r="L334" s="13"/>
      <c r="M334" s="13"/>
    </row>
    <row r="335">
      <c r="L335" s="13"/>
      <c r="M335" s="13"/>
    </row>
    <row r="336">
      <c r="L336" s="13"/>
      <c r="M336" s="13"/>
    </row>
    <row r="337">
      <c r="L337" s="13"/>
      <c r="M337" s="13"/>
    </row>
    <row r="338">
      <c r="L338" s="13"/>
      <c r="M338" s="13"/>
    </row>
    <row r="339">
      <c r="L339" s="13"/>
      <c r="M339" s="13"/>
    </row>
    <row r="340">
      <c r="L340" s="13"/>
      <c r="M340" s="13"/>
    </row>
    <row r="341">
      <c r="L341" s="13"/>
      <c r="M341" s="13"/>
    </row>
    <row r="342">
      <c r="L342" s="13"/>
      <c r="M342" s="13"/>
    </row>
    <row r="343">
      <c r="L343" s="13"/>
      <c r="M343" s="13"/>
    </row>
    <row r="344">
      <c r="L344" s="13"/>
      <c r="M344" s="13"/>
    </row>
    <row r="345">
      <c r="L345" s="13"/>
      <c r="M345" s="13"/>
    </row>
    <row r="346">
      <c r="L346" s="13"/>
      <c r="M346" s="13"/>
    </row>
    <row r="347">
      <c r="L347" s="13"/>
      <c r="M347" s="13"/>
    </row>
    <row r="348">
      <c r="L348" s="13"/>
      <c r="M348" s="13"/>
    </row>
    <row r="349">
      <c r="L349" s="13"/>
      <c r="M349" s="13"/>
    </row>
    <row r="350">
      <c r="L350" s="13"/>
      <c r="M350" s="13"/>
    </row>
    <row r="351">
      <c r="L351" s="13"/>
      <c r="M351" s="13"/>
    </row>
    <row r="352">
      <c r="L352" s="13"/>
      <c r="M352" s="13"/>
    </row>
    <row r="353">
      <c r="L353" s="13"/>
      <c r="M353" s="13"/>
    </row>
    <row r="354">
      <c r="L354" s="13"/>
      <c r="M354" s="13"/>
    </row>
    <row r="355">
      <c r="L355" s="13"/>
      <c r="M355" s="13"/>
    </row>
    <row r="356">
      <c r="L356" s="13"/>
      <c r="M356" s="13"/>
    </row>
    <row r="357">
      <c r="L357" s="13"/>
      <c r="M357" s="13"/>
    </row>
    <row r="358">
      <c r="L358" s="13"/>
      <c r="M358" s="13"/>
    </row>
    <row r="359">
      <c r="L359" s="13"/>
      <c r="M359" s="13"/>
    </row>
    <row r="360">
      <c r="L360" s="13"/>
      <c r="M360" s="13"/>
    </row>
    <row r="361">
      <c r="L361" s="13"/>
      <c r="M361" s="13"/>
    </row>
    <row r="362">
      <c r="L362" s="13"/>
      <c r="M362" s="13"/>
    </row>
    <row r="363">
      <c r="L363" s="13"/>
      <c r="M363" s="13"/>
    </row>
    <row r="364">
      <c r="L364" s="13"/>
      <c r="M364" s="13"/>
    </row>
    <row r="365">
      <c r="L365" s="13"/>
      <c r="M365" s="13"/>
    </row>
    <row r="366">
      <c r="L366" s="13"/>
      <c r="M366" s="13"/>
    </row>
    <row r="367">
      <c r="L367" s="13"/>
      <c r="M367" s="13"/>
    </row>
    <row r="368">
      <c r="L368" s="13"/>
      <c r="M368" s="13"/>
    </row>
    <row r="369">
      <c r="L369" s="13"/>
      <c r="M369" s="13"/>
    </row>
    <row r="370">
      <c r="L370" s="13"/>
      <c r="M370" s="13"/>
    </row>
    <row r="371">
      <c r="L371" s="13"/>
      <c r="M371" s="13"/>
    </row>
    <row r="372">
      <c r="L372" s="13"/>
      <c r="M372" s="13"/>
    </row>
    <row r="373">
      <c r="L373" s="13"/>
      <c r="M373" s="13"/>
    </row>
    <row r="374">
      <c r="L374" s="13"/>
      <c r="M374" s="13"/>
    </row>
    <row r="375">
      <c r="L375" s="13"/>
      <c r="M375" s="13"/>
    </row>
    <row r="376">
      <c r="L376" s="13"/>
      <c r="M376" s="13"/>
    </row>
    <row r="377">
      <c r="L377" s="13"/>
      <c r="M377" s="13"/>
    </row>
    <row r="378">
      <c r="L378" s="13"/>
      <c r="M378" s="13"/>
    </row>
    <row r="379">
      <c r="L379" s="13"/>
      <c r="M379" s="13"/>
    </row>
    <row r="380">
      <c r="L380" s="13"/>
      <c r="M380" s="13"/>
    </row>
    <row r="381">
      <c r="L381" s="13"/>
      <c r="M381" s="13"/>
    </row>
    <row r="382">
      <c r="L382" s="13"/>
      <c r="M382" s="13"/>
    </row>
    <row r="383">
      <c r="L383" s="13"/>
      <c r="M383" s="13"/>
    </row>
    <row r="384">
      <c r="L384" s="13"/>
      <c r="M384" s="13"/>
    </row>
    <row r="385">
      <c r="L385" s="13"/>
      <c r="M385" s="13"/>
    </row>
    <row r="386">
      <c r="L386" s="13"/>
      <c r="M386" s="13"/>
    </row>
    <row r="387">
      <c r="L387" s="13"/>
      <c r="M387" s="13"/>
    </row>
    <row r="388">
      <c r="L388" s="13"/>
      <c r="M388" s="13"/>
    </row>
    <row r="389">
      <c r="L389" s="13"/>
      <c r="M389" s="13"/>
    </row>
    <row r="390">
      <c r="L390" s="13"/>
      <c r="M390" s="13"/>
    </row>
    <row r="391">
      <c r="L391" s="13"/>
      <c r="M391" s="13"/>
    </row>
    <row r="392">
      <c r="L392" s="13"/>
      <c r="M392" s="13"/>
    </row>
    <row r="393">
      <c r="L393" s="13"/>
      <c r="M393" s="13"/>
    </row>
    <row r="394">
      <c r="L394" s="13"/>
      <c r="M394" s="13"/>
    </row>
    <row r="395">
      <c r="L395" s="13"/>
      <c r="M395" s="13"/>
    </row>
    <row r="396">
      <c r="L396" s="13"/>
      <c r="M396" s="13"/>
    </row>
    <row r="397">
      <c r="L397" s="13"/>
      <c r="M397" s="13"/>
    </row>
    <row r="398">
      <c r="L398" s="13"/>
      <c r="M398" s="13"/>
    </row>
    <row r="399">
      <c r="L399" s="13"/>
      <c r="M399" s="13"/>
    </row>
    <row r="400">
      <c r="L400" s="13"/>
      <c r="M400" s="13"/>
    </row>
    <row r="401">
      <c r="L401" s="13"/>
      <c r="M401" s="13"/>
    </row>
    <row r="402">
      <c r="L402" s="13"/>
      <c r="M402" s="13"/>
    </row>
    <row r="403">
      <c r="L403" s="13"/>
      <c r="M403" s="13"/>
    </row>
    <row r="404">
      <c r="L404" s="13"/>
      <c r="M404" s="13"/>
    </row>
    <row r="405">
      <c r="L405" s="13"/>
      <c r="M405" s="13"/>
    </row>
    <row r="406">
      <c r="L406" s="13"/>
      <c r="M406" s="13"/>
    </row>
    <row r="407">
      <c r="L407" s="13"/>
      <c r="M407" s="13"/>
    </row>
    <row r="408">
      <c r="L408" s="13"/>
      <c r="M408" s="13"/>
    </row>
    <row r="409">
      <c r="L409" s="13"/>
      <c r="M409" s="13"/>
    </row>
    <row r="410">
      <c r="L410" s="13"/>
      <c r="M410" s="13"/>
    </row>
    <row r="411">
      <c r="L411" s="13"/>
      <c r="M411" s="13"/>
    </row>
    <row r="412">
      <c r="L412" s="13"/>
      <c r="M412" s="13"/>
    </row>
    <row r="413">
      <c r="L413" s="13"/>
      <c r="M413" s="13"/>
    </row>
    <row r="414">
      <c r="L414" s="13"/>
      <c r="M414" s="13"/>
    </row>
    <row r="415">
      <c r="L415" s="13"/>
      <c r="M415" s="13"/>
    </row>
    <row r="416">
      <c r="L416" s="13"/>
      <c r="M416" s="13"/>
    </row>
    <row r="417">
      <c r="L417" s="13"/>
      <c r="M417" s="13"/>
    </row>
    <row r="418">
      <c r="L418" s="13"/>
      <c r="M418" s="13"/>
    </row>
    <row r="419">
      <c r="L419" s="13"/>
      <c r="M419" s="13"/>
    </row>
    <row r="420">
      <c r="L420" s="13"/>
      <c r="M420" s="13"/>
    </row>
    <row r="421">
      <c r="L421" s="13"/>
      <c r="M421" s="13"/>
    </row>
    <row r="422">
      <c r="L422" s="13"/>
      <c r="M422" s="13"/>
    </row>
    <row r="423">
      <c r="L423" s="13"/>
      <c r="M423" s="13"/>
    </row>
    <row r="424">
      <c r="L424" s="13"/>
      <c r="M424" s="13"/>
    </row>
    <row r="425">
      <c r="L425" s="13"/>
      <c r="M425" s="13"/>
    </row>
    <row r="426">
      <c r="L426" s="13"/>
      <c r="M426" s="13"/>
    </row>
    <row r="427">
      <c r="L427" s="13"/>
      <c r="M427" s="13"/>
    </row>
    <row r="428">
      <c r="L428" s="13"/>
      <c r="M428" s="13"/>
    </row>
    <row r="429">
      <c r="L429" s="13"/>
      <c r="M429" s="13"/>
    </row>
    <row r="430">
      <c r="L430" s="13"/>
      <c r="M430" s="13"/>
    </row>
    <row r="431">
      <c r="L431" s="13"/>
      <c r="M431" s="13"/>
    </row>
    <row r="432">
      <c r="L432" s="13"/>
      <c r="M432" s="13"/>
    </row>
    <row r="433">
      <c r="L433" s="13"/>
      <c r="M433" s="13"/>
    </row>
    <row r="434">
      <c r="L434" s="13"/>
      <c r="M434" s="13"/>
    </row>
    <row r="435">
      <c r="L435" s="13"/>
      <c r="M435" s="13"/>
    </row>
    <row r="436">
      <c r="L436" s="13"/>
      <c r="M436" s="13"/>
    </row>
    <row r="437">
      <c r="L437" s="13"/>
      <c r="M437" s="13"/>
    </row>
    <row r="438">
      <c r="L438" s="13"/>
      <c r="M438" s="13"/>
    </row>
    <row r="439">
      <c r="L439" s="13"/>
      <c r="M439" s="13"/>
    </row>
    <row r="440">
      <c r="L440" s="13"/>
      <c r="M440" s="13"/>
    </row>
    <row r="441">
      <c r="L441" s="13"/>
      <c r="M441" s="13"/>
    </row>
    <row r="442">
      <c r="L442" s="13"/>
      <c r="M442" s="13"/>
    </row>
    <row r="443">
      <c r="L443" s="13"/>
      <c r="M443" s="13"/>
    </row>
    <row r="444">
      <c r="L444" s="13"/>
      <c r="M444" s="13"/>
    </row>
    <row r="445">
      <c r="L445" s="13"/>
      <c r="M445" s="13"/>
    </row>
    <row r="446">
      <c r="L446" s="13"/>
      <c r="M446" s="13"/>
    </row>
    <row r="447">
      <c r="L447" s="13"/>
      <c r="M447" s="13"/>
    </row>
    <row r="448">
      <c r="L448" s="13"/>
      <c r="M448" s="13"/>
    </row>
    <row r="449">
      <c r="L449" s="13"/>
      <c r="M449" s="13"/>
    </row>
    <row r="450">
      <c r="L450" s="13"/>
      <c r="M450" s="13"/>
    </row>
    <row r="451">
      <c r="L451" s="13"/>
      <c r="M451" s="13"/>
    </row>
    <row r="452">
      <c r="L452" s="13"/>
      <c r="M452" s="13"/>
    </row>
    <row r="453">
      <c r="L453" s="13"/>
      <c r="M453" s="13"/>
    </row>
    <row r="454">
      <c r="L454" s="13"/>
      <c r="M454" s="13"/>
    </row>
    <row r="455">
      <c r="L455" s="13"/>
      <c r="M455" s="13"/>
    </row>
    <row r="456">
      <c r="L456" s="13"/>
      <c r="M456" s="13"/>
    </row>
    <row r="457">
      <c r="L457" s="13"/>
      <c r="M457" s="13"/>
    </row>
    <row r="458">
      <c r="L458" s="13"/>
      <c r="M458" s="13"/>
    </row>
    <row r="459">
      <c r="L459" s="13"/>
      <c r="M459" s="13"/>
    </row>
    <row r="460">
      <c r="L460" s="13"/>
      <c r="M460" s="13"/>
    </row>
    <row r="461">
      <c r="L461" s="13"/>
      <c r="M461" s="13"/>
    </row>
    <row r="462">
      <c r="L462" s="13"/>
      <c r="M462" s="13"/>
    </row>
    <row r="463">
      <c r="L463" s="13"/>
      <c r="M463" s="13"/>
    </row>
    <row r="464">
      <c r="L464" s="13"/>
      <c r="M464" s="13"/>
    </row>
    <row r="465">
      <c r="L465" s="13"/>
      <c r="M465" s="13"/>
    </row>
    <row r="466">
      <c r="L466" s="13"/>
      <c r="M466" s="13"/>
    </row>
    <row r="467">
      <c r="L467" s="13"/>
      <c r="M467" s="13"/>
    </row>
    <row r="468">
      <c r="L468" s="13"/>
      <c r="M468" s="13"/>
    </row>
    <row r="469">
      <c r="L469" s="13"/>
      <c r="M469" s="13"/>
    </row>
    <row r="470">
      <c r="L470" s="13"/>
      <c r="M470" s="13"/>
    </row>
    <row r="471">
      <c r="L471" s="13"/>
      <c r="M471" s="13"/>
    </row>
    <row r="472">
      <c r="L472" s="13"/>
      <c r="M472" s="13"/>
    </row>
    <row r="473">
      <c r="L473" s="13"/>
      <c r="M473" s="13"/>
    </row>
    <row r="474">
      <c r="L474" s="13"/>
      <c r="M474" s="13"/>
    </row>
    <row r="475">
      <c r="L475" s="13"/>
      <c r="M475" s="13"/>
    </row>
    <row r="476">
      <c r="L476" s="13"/>
      <c r="M476" s="13"/>
    </row>
    <row r="477">
      <c r="L477" s="13"/>
      <c r="M477" s="13"/>
    </row>
    <row r="478">
      <c r="L478" s="13"/>
      <c r="M478" s="13"/>
    </row>
    <row r="479">
      <c r="L479" s="13"/>
      <c r="M479" s="13"/>
    </row>
    <row r="480">
      <c r="L480" s="13"/>
      <c r="M480" s="13"/>
    </row>
    <row r="481">
      <c r="L481" s="13"/>
      <c r="M481" s="13"/>
    </row>
    <row r="482">
      <c r="L482" s="13"/>
      <c r="M482" s="13"/>
    </row>
    <row r="483">
      <c r="L483" s="13"/>
      <c r="M483" s="13"/>
    </row>
    <row r="484">
      <c r="L484" s="13"/>
      <c r="M484" s="13"/>
    </row>
    <row r="485">
      <c r="L485" s="13"/>
      <c r="M485" s="13"/>
    </row>
    <row r="486">
      <c r="L486" s="13"/>
      <c r="M486" s="13"/>
    </row>
    <row r="487">
      <c r="L487" s="13"/>
      <c r="M487" s="13"/>
    </row>
    <row r="488">
      <c r="L488" s="13"/>
      <c r="M488" s="13"/>
    </row>
    <row r="489">
      <c r="L489" s="13"/>
      <c r="M489" s="13"/>
    </row>
    <row r="490">
      <c r="L490" s="13"/>
      <c r="M490" s="13"/>
    </row>
    <row r="491">
      <c r="L491" s="13"/>
      <c r="M491" s="13"/>
    </row>
    <row r="492">
      <c r="L492" s="13"/>
      <c r="M492" s="13"/>
    </row>
    <row r="493">
      <c r="L493" s="13"/>
      <c r="M493" s="13"/>
    </row>
    <row r="494">
      <c r="L494" s="13"/>
      <c r="M494" s="13"/>
    </row>
    <row r="495">
      <c r="L495" s="13"/>
      <c r="M495" s="13"/>
    </row>
    <row r="496">
      <c r="L496" s="13"/>
      <c r="M496" s="13"/>
    </row>
    <row r="497">
      <c r="L497" s="13"/>
      <c r="M497" s="13"/>
    </row>
    <row r="498">
      <c r="L498" s="13"/>
      <c r="M498" s="13"/>
    </row>
    <row r="499">
      <c r="L499" s="13"/>
      <c r="M499" s="13"/>
    </row>
    <row r="500">
      <c r="L500" s="13"/>
      <c r="M500" s="13"/>
    </row>
    <row r="501">
      <c r="L501" s="13"/>
      <c r="M501" s="13"/>
    </row>
    <row r="502">
      <c r="L502" s="13"/>
      <c r="M502" s="13"/>
    </row>
    <row r="503">
      <c r="L503" s="13"/>
      <c r="M503" s="13"/>
    </row>
    <row r="504">
      <c r="L504" s="13"/>
      <c r="M504" s="13"/>
    </row>
    <row r="505">
      <c r="L505" s="13"/>
      <c r="M505" s="13"/>
    </row>
    <row r="506">
      <c r="L506" s="13"/>
      <c r="M506" s="13"/>
    </row>
    <row r="507">
      <c r="L507" s="13"/>
      <c r="M507" s="13"/>
    </row>
    <row r="508">
      <c r="L508" s="13"/>
      <c r="M508" s="13"/>
    </row>
    <row r="509">
      <c r="L509" s="13"/>
      <c r="M509" s="13"/>
    </row>
    <row r="510">
      <c r="L510" s="13"/>
      <c r="M510" s="13"/>
    </row>
    <row r="511">
      <c r="L511" s="13"/>
      <c r="M511" s="13"/>
    </row>
    <row r="512">
      <c r="L512" s="13"/>
      <c r="M512" s="13"/>
    </row>
    <row r="513">
      <c r="L513" s="13"/>
      <c r="M513" s="13"/>
    </row>
    <row r="514">
      <c r="L514" s="13"/>
      <c r="M514" s="13"/>
    </row>
    <row r="515">
      <c r="L515" s="13"/>
      <c r="M515" s="13"/>
    </row>
    <row r="516">
      <c r="L516" s="13"/>
      <c r="M516" s="13"/>
    </row>
    <row r="517">
      <c r="L517" s="13"/>
      <c r="M517" s="13"/>
    </row>
    <row r="518">
      <c r="L518" s="13"/>
      <c r="M518" s="13"/>
    </row>
    <row r="519">
      <c r="L519" s="13"/>
      <c r="M519" s="13"/>
    </row>
    <row r="520">
      <c r="L520" s="13"/>
      <c r="M520" s="13"/>
    </row>
    <row r="521">
      <c r="L521" s="13"/>
      <c r="M521" s="13"/>
    </row>
    <row r="522">
      <c r="L522" s="13"/>
      <c r="M522" s="13"/>
    </row>
    <row r="523">
      <c r="L523" s="13"/>
      <c r="M523" s="13"/>
    </row>
    <row r="524">
      <c r="L524" s="13"/>
      <c r="M524" s="13"/>
    </row>
    <row r="525">
      <c r="L525" s="13"/>
      <c r="M525" s="13"/>
    </row>
    <row r="526">
      <c r="L526" s="13"/>
      <c r="M526" s="13"/>
    </row>
    <row r="527">
      <c r="L527" s="13"/>
      <c r="M527" s="13"/>
    </row>
    <row r="528">
      <c r="L528" s="13"/>
      <c r="M528" s="13"/>
    </row>
    <row r="529">
      <c r="L529" s="13"/>
      <c r="M529" s="13"/>
    </row>
    <row r="530">
      <c r="L530" s="13"/>
      <c r="M530" s="13"/>
    </row>
    <row r="531">
      <c r="L531" s="13"/>
      <c r="M531" s="13"/>
    </row>
    <row r="532">
      <c r="L532" s="13"/>
      <c r="M532" s="13"/>
    </row>
    <row r="533">
      <c r="L533" s="13"/>
      <c r="M533" s="13"/>
    </row>
    <row r="534">
      <c r="L534" s="13"/>
      <c r="M534" s="13"/>
    </row>
    <row r="535">
      <c r="L535" s="13"/>
      <c r="M535" s="13"/>
    </row>
    <row r="536">
      <c r="L536" s="13"/>
      <c r="M536" s="13"/>
    </row>
    <row r="537">
      <c r="L537" s="13"/>
      <c r="M537" s="13"/>
    </row>
    <row r="538">
      <c r="L538" s="13"/>
      <c r="M538" s="13"/>
    </row>
    <row r="539">
      <c r="L539" s="13"/>
      <c r="M539" s="13"/>
    </row>
    <row r="540">
      <c r="L540" s="13"/>
      <c r="M540" s="13"/>
    </row>
    <row r="541">
      <c r="L541" s="13"/>
      <c r="M541" s="13"/>
    </row>
    <row r="542">
      <c r="L542" s="13"/>
      <c r="M542" s="13"/>
    </row>
    <row r="543">
      <c r="L543" s="13"/>
      <c r="M543" s="13"/>
    </row>
    <row r="544">
      <c r="L544" s="13"/>
      <c r="M544" s="13"/>
    </row>
    <row r="545">
      <c r="L545" s="13"/>
      <c r="M545" s="13"/>
    </row>
    <row r="546">
      <c r="L546" s="13"/>
      <c r="M546" s="13"/>
    </row>
    <row r="547">
      <c r="L547" s="13"/>
      <c r="M547" s="13"/>
    </row>
    <row r="548">
      <c r="L548" s="13"/>
      <c r="M548" s="13"/>
    </row>
    <row r="549">
      <c r="L549" s="13"/>
      <c r="M549" s="13"/>
    </row>
    <row r="550">
      <c r="L550" s="13"/>
      <c r="M550" s="13"/>
    </row>
    <row r="551">
      <c r="L551" s="13"/>
      <c r="M551" s="13"/>
    </row>
    <row r="552">
      <c r="L552" s="13"/>
      <c r="M552" s="13"/>
    </row>
    <row r="553">
      <c r="L553" s="13"/>
      <c r="M553" s="13"/>
    </row>
    <row r="554">
      <c r="L554" s="13"/>
      <c r="M554" s="13"/>
    </row>
    <row r="555">
      <c r="L555" s="13"/>
      <c r="M555" s="13"/>
    </row>
    <row r="556">
      <c r="L556" s="13"/>
      <c r="M556" s="13"/>
    </row>
    <row r="557">
      <c r="L557" s="13"/>
      <c r="M557" s="13"/>
    </row>
    <row r="558">
      <c r="L558" s="13"/>
      <c r="M558" s="13"/>
    </row>
    <row r="559">
      <c r="L559" s="13"/>
      <c r="M559" s="13"/>
    </row>
    <row r="560">
      <c r="L560" s="13"/>
      <c r="M560" s="13"/>
    </row>
    <row r="561">
      <c r="L561" s="13"/>
      <c r="M561" s="13"/>
    </row>
    <row r="562">
      <c r="L562" s="13"/>
      <c r="M562" s="13"/>
    </row>
    <row r="563">
      <c r="L563" s="13"/>
      <c r="M563" s="13"/>
    </row>
    <row r="564">
      <c r="L564" s="13"/>
      <c r="M564" s="13"/>
    </row>
    <row r="565">
      <c r="L565" s="13"/>
      <c r="M565" s="13"/>
    </row>
    <row r="566">
      <c r="L566" s="13"/>
      <c r="M566" s="13"/>
    </row>
    <row r="567">
      <c r="L567" s="13"/>
      <c r="M567" s="13"/>
    </row>
    <row r="568">
      <c r="L568" s="13"/>
      <c r="M568" s="13"/>
    </row>
    <row r="569">
      <c r="L569" s="13"/>
      <c r="M569" s="13"/>
    </row>
    <row r="570">
      <c r="L570" s="13"/>
      <c r="M570" s="13"/>
    </row>
    <row r="571">
      <c r="L571" s="13"/>
      <c r="M571" s="13"/>
    </row>
    <row r="572">
      <c r="L572" s="13"/>
      <c r="M572" s="13"/>
    </row>
    <row r="573">
      <c r="L573" s="13"/>
      <c r="M573" s="13"/>
    </row>
    <row r="574">
      <c r="L574" s="13"/>
      <c r="M574" s="13"/>
    </row>
    <row r="575">
      <c r="L575" s="13"/>
      <c r="M575" s="13"/>
    </row>
    <row r="576">
      <c r="L576" s="13"/>
      <c r="M576" s="13"/>
    </row>
    <row r="577">
      <c r="L577" s="13"/>
      <c r="M577" s="13"/>
    </row>
    <row r="578">
      <c r="L578" s="13"/>
      <c r="M578" s="13"/>
    </row>
    <row r="579">
      <c r="L579" s="13"/>
      <c r="M579" s="13"/>
    </row>
    <row r="580">
      <c r="L580" s="13"/>
      <c r="M580" s="13"/>
    </row>
    <row r="581">
      <c r="L581" s="13"/>
      <c r="M581" s="13"/>
    </row>
    <row r="582">
      <c r="L582" s="13"/>
      <c r="M582" s="13"/>
    </row>
    <row r="583">
      <c r="L583" s="13"/>
      <c r="M583" s="13"/>
    </row>
    <row r="584">
      <c r="L584" s="13"/>
      <c r="M584" s="13"/>
    </row>
    <row r="585">
      <c r="L585" s="13"/>
      <c r="M585" s="13"/>
    </row>
    <row r="586">
      <c r="L586" s="13"/>
      <c r="M586" s="13"/>
    </row>
    <row r="587">
      <c r="L587" s="13"/>
      <c r="M587" s="13"/>
    </row>
    <row r="588">
      <c r="L588" s="13"/>
      <c r="M588" s="13"/>
    </row>
    <row r="589">
      <c r="L589" s="13"/>
      <c r="M589" s="13"/>
    </row>
    <row r="590">
      <c r="L590" s="13"/>
      <c r="M590" s="13"/>
    </row>
    <row r="591">
      <c r="L591" s="13"/>
      <c r="M591" s="13"/>
    </row>
    <row r="592">
      <c r="L592" s="13"/>
      <c r="M592" s="13"/>
    </row>
    <row r="593">
      <c r="L593" s="13"/>
      <c r="M593" s="13"/>
    </row>
    <row r="594">
      <c r="L594" s="13"/>
      <c r="M594" s="13"/>
    </row>
    <row r="595">
      <c r="L595" s="13"/>
      <c r="M595" s="13"/>
    </row>
    <row r="596">
      <c r="L596" s="13"/>
      <c r="M596" s="13"/>
    </row>
    <row r="597">
      <c r="L597" s="13"/>
      <c r="M597" s="13"/>
    </row>
    <row r="598">
      <c r="L598" s="13"/>
      <c r="M598" s="13"/>
    </row>
    <row r="599">
      <c r="L599" s="13"/>
      <c r="M599" s="13"/>
    </row>
    <row r="600">
      <c r="L600" s="13"/>
      <c r="M600" s="13"/>
    </row>
    <row r="601">
      <c r="L601" s="13"/>
      <c r="M601" s="13"/>
    </row>
    <row r="602">
      <c r="L602" s="13"/>
      <c r="M602" s="13"/>
    </row>
    <row r="603">
      <c r="L603" s="13"/>
      <c r="M603" s="13"/>
    </row>
    <row r="604">
      <c r="L604" s="13"/>
      <c r="M604" s="13"/>
    </row>
    <row r="605">
      <c r="L605" s="13"/>
      <c r="M605" s="13"/>
    </row>
    <row r="606">
      <c r="L606" s="13"/>
      <c r="M606" s="13"/>
    </row>
    <row r="607">
      <c r="L607" s="13"/>
      <c r="M607" s="13"/>
    </row>
    <row r="608">
      <c r="L608" s="13"/>
      <c r="M608" s="13"/>
    </row>
    <row r="609">
      <c r="L609" s="13"/>
      <c r="M609" s="13"/>
    </row>
    <row r="610">
      <c r="L610" s="13"/>
      <c r="M610" s="13"/>
    </row>
    <row r="611">
      <c r="L611" s="13"/>
      <c r="M611" s="13"/>
    </row>
    <row r="612">
      <c r="L612" s="13"/>
      <c r="M612" s="13"/>
    </row>
    <row r="613">
      <c r="L613" s="13"/>
      <c r="M613" s="13"/>
    </row>
    <row r="614">
      <c r="L614" s="13"/>
      <c r="M614" s="13"/>
    </row>
    <row r="615">
      <c r="L615" s="13"/>
      <c r="M615" s="13"/>
    </row>
    <row r="616">
      <c r="L616" s="13"/>
      <c r="M616" s="13"/>
    </row>
    <row r="617">
      <c r="L617" s="13"/>
      <c r="M617" s="13"/>
    </row>
    <row r="618">
      <c r="L618" s="13"/>
      <c r="M618" s="13"/>
    </row>
    <row r="619">
      <c r="L619" s="13"/>
      <c r="M619" s="13"/>
    </row>
    <row r="620">
      <c r="L620" s="13"/>
      <c r="M620" s="13"/>
    </row>
    <row r="621">
      <c r="L621" s="13"/>
      <c r="M621" s="13"/>
    </row>
    <row r="622">
      <c r="L622" s="13"/>
      <c r="M622" s="13"/>
    </row>
    <row r="623">
      <c r="L623" s="13"/>
      <c r="M623" s="13"/>
    </row>
    <row r="624">
      <c r="L624" s="13"/>
      <c r="M624" s="13"/>
    </row>
    <row r="625">
      <c r="L625" s="13"/>
      <c r="M625" s="13"/>
    </row>
    <row r="626">
      <c r="L626" s="13"/>
      <c r="M626" s="13"/>
    </row>
    <row r="627">
      <c r="L627" s="13"/>
      <c r="M627" s="13"/>
    </row>
    <row r="628">
      <c r="L628" s="13"/>
      <c r="M628" s="13"/>
    </row>
    <row r="629">
      <c r="L629" s="13"/>
      <c r="M629" s="13"/>
    </row>
    <row r="630">
      <c r="L630" s="13"/>
      <c r="M630" s="13"/>
    </row>
    <row r="631">
      <c r="L631" s="13"/>
      <c r="M631" s="13"/>
    </row>
    <row r="632">
      <c r="L632" s="13"/>
      <c r="M632" s="13"/>
    </row>
    <row r="633">
      <c r="L633" s="13"/>
      <c r="M633" s="13"/>
    </row>
    <row r="634">
      <c r="L634" s="13"/>
      <c r="M634" s="13"/>
    </row>
    <row r="635">
      <c r="L635" s="13"/>
      <c r="M635" s="13"/>
    </row>
    <row r="636">
      <c r="L636" s="13"/>
      <c r="M636" s="13"/>
    </row>
    <row r="637">
      <c r="L637" s="13"/>
      <c r="M637" s="13"/>
    </row>
    <row r="638">
      <c r="L638" s="13"/>
      <c r="M638" s="13"/>
    </row>
    <row r="639">
      <c r="L639" s="13"/>
      <c r="M639" s="13"/>
    </row>
    <row r="640">
      <c r="L640" s="13"/>
      <c r="M640" s="13"/>
    </row>
    <row r="641">
      <c r="L641" s="13"/>
      <c r="M641" s="13"/>
    </row>
    <row r="642">
      <c r="L642" s="13"/>
      <c r="M642" s="13"/>
    </row>
    <row r="643">
      <c r="L643" s="13"/>
      <c r="M643" s="13"/>
    </row>
    <row r="644">
      <c r="L644" s="13"/>
      <c r="M644" s="13"/>
    </row>
    <row r="645">
      <c r="L645" s="13"/>
      <c r="M645" s="13"/>
    </row>
    <row r="646">
      <c r="L646" s="13"/>
      <c r="M646" s="13"/>
    </row>
    <row r="647">
      <c r="L647" s="13"/>
      <c r="M647" s="13"/>
    </row>
    <row r="648">
      <c r="L648" s="13"/>
      <c r="M648" s="13"/>
    </row>
    <row r="649">
      <c r="L649" s="13"/>
      <c r="M649" s="13"/>
    </row>
    <row r="650">
      <c r="L650" s="13"/>
      <c r="M650" s="13"/>
    </row>
    <row r="651">
      <c r="L651" s="13"/>
      <c r="M651" s="13"/>
    </row>
    <row r="652">
      <c r="L652" s="13"/>
      <c r="M652" s="13"/>
    </row>
    <row r="653">
      <c r="L653" s="13"/>
      <c r="M653" s="13"/>
    </row>
    <row r="654">
      <c r="L654" s="13"/>
      <c r="M654" s="13"/>
    </row>
    <row r="655">
      <c r="L655" s="13"/>
      <c r="M655" s="13"/>
    </row>
    <row r="656">
      <c r="L656" s="13"/>
      <c r="M656" s="13"/>
    </row>
    <row r="657">
      <c r="L657" s="13"/>
      <c r="M657" s="13"/>
    </row>
    <row r="658">
      <c r="L658" s="13"/>
      <c r="M658" s="13"/>
    </row>
    <row r="659">
      <c r="L659" s="13"/>
      <c r="M659" s="13"/>
    </row>
    <row r="660">
      <c r="L660" s="13"/>
      <c r="M660" s="13"/>
    </row>
    <row r="661">
      <c r="L661" s="13"/>
      <c r="M661" s="13"/>
    </row>
    <row r="662">
      <c r="L662" s="13"/>
      <c r="M662" s="13"/>
    </row>
    <row r="663">
      <c r="L663" s="13"/>
      <c r="M663" s="13"/>
    </row>
    <row r="664">
      <c r="L664" s="13"/>
      <c r="M664" s="13"/>
    </row>
    <row r="665">
      <c r="L665" s="13"/>
      <c r="M665" s="13"/>
    </row>
    <row r="666">
      <c r="L666" s="13"/>
      <c r="M666" s="13"/>
    </row>
    <row r="667">
      <c r="L667" s="13"/>
      <c r="M667" s="13"/>
    </row>
    <row r="668">
      <c r="L668" s="13"/>
      <c r="M668" s="13"/>
    </row>
    <row r="669">
      <c r="L669" s="13"/>
      <c r="M669" s="13"/>
    </row>
    <row r="670">
      <c r="L670" s="13"/>
      <c r="M670" s="13"/>
    </row>
    <row r="671">
      <c r="L671" s="13"/>
      <c r="M671" s="13"/>
    </row>
    <row r="672">
      <c r="L672" s="13"/>
      <c r="M672" s="13"/>
    </row>
    <row r="673">
      <c r="L673" s="13"/>
      <c r="M673" s="13"/>
    </row>
    <row r="674">
      <c r="L674" s="13"/>
      <c r="M674" s="13"/>
    </row>
    <row r="675">
      <c r="L675" s="13"/>
      <c r="M675" s="13"/>
    </row>
    <row r="676">
      <c r="L676" s="13"/>
      <c r="M676" s="13"/>
    </row>
    <row r="677">
      <c r="L677" s="13"/>
      <c r="M677" s="13"/>
    </row>
    <row r="678">
      <c r="L678" s="13"/>
      <c r="M678" s="13"/>
    </row>
    <row r="679">
      <c r="L679" s="13"/>
      <c r="M679" s="13"/>
    </row>
    <row r="680">
      <c r="L680" s="13"/>
      <c r="M680" s="13"/>
    </row>
    <row r="681">
      <c r="L681" s="13"/>
      <c r="M681" s="13"/>
    </row>
    <row r="682">
      <c r="L682" s="13"/>
      <c r="M682" s="13"/>
    </row>
    <row r="683">
      <c r="L683" s="13"/>
      <c r="M683" s="13"/>
    </row>
    <row r="684">
      <c r="L684" s="13"/>
      <c r="M684" s="13"/>
    </row>
    <row r="685">
      <c r="L685" s="13"/>
      <c r="M685" s="13"/>
    </row>
    <row r="686">
      <c r="L686" s="13"/>
      <c r="M686" s="13"/>
    </row>
    <row r="687">
      <c r="L687" s="13"/>
      <c r="M687" s="13"/>
    </row>
    <row r="688">
      <c r="L688" s="13"/>
      <c r="M688" s="13"/>
    </row>
    <row r="689">
      <c r="L689" s="13"/>
      <c r="M689" s="13"/>
    </row>
    <row r="690">
      <c r="L690" s="13"/>
      <c r="M690" s="13"/>
    </row>
    <row r="691">
      <c r="L691" s="13"/>
      <c r="M691" s="13"/>
    </row>
    <row r="692">
      <c r="L692" s="13"/>
      <c r="M692" s="13"/>
    </row>
    <row r="693">
      <c r="L693" s="13"/>
      <c r="M693" s="13"/>
    </row>
    <row r="694">
      <c r="L694" s="13"/>
      <c r="M694" s="13"/>
    </row>
    <row r="695">
      <c r="L695" s="13"/>
      <c r="M695" s="13"/>
    </row>
    <row r="696">
      <c r="L696" s="13"/>
      <c r="M696" s="13"/>
    </row>
    <row r="697">
      <c r="L697" s="13"/>
      <c r="M697" s="13"/>
    </row>
    <row r="698">
      <c r="L698" s="13"/>
      <c r="M698" s="13"/>
    </row>
    <row r="699">
      <c r="L699" s="13"/>
      <c r="M699" s="13"/>
    </row>
    <row r="700">
      <c r="L700" s="13"/>
      <c r="M700" s="13"/>
    </row>
    <row r="701">
      <c r="L701" s="13"/>
      <c r="M701" s="13"/>
    </row>
    <row r="702">
      <c r="L702" s="13"/>
      <c r="M702" s="13"/>
    </row>
    <row r="703">
      <c r="L703" s="13"/>
      <c r="M703" s="13"/>
    </row>
    <row r="704">
      <c r="L704" s="13"/>
      <c r="M704" s="13"/>
    </row>
    <row r="705">
      <c r="L705" s="13"/>
      <c r="M705" s="13"/>
    </row>
    <row r="706">
      <c r="L706" s="13"/>
      <c r="M706" s="13"/>
    </row>
    <row r="707">
      <c r="L707" s="13"/>
      <c r="M707" s="13"/>
    </row>
    <row r="708">
      <c r="L708" s="13"/>
      <c r="M708" s="13"/>
    </row>
    <row r="709">
      <c r="L709" s="13"/>
      <c r="M709" s="13"/>
    </row>
    <row r="710">
      <c r="L710" s="13"/>
      <c r="M710" s="13"/>
    </row>
    <row r="711">
      <c r="L711" s="13"/>
      <c r="M711" s="13"/>
    </row>
    <row r="712">
      <c r="L712" s="13"/>
      <c r="M712" s="13"/>
    </row>
    <row r="713">
      <c r="L713" s="13"/>
      <c r="M713" s="13"/>
    </row>
    <row r="714">
      <c r="L714" s="13"/>
      <c r="M714" s="13"/>
    </row>
    <row r="715">
      <c r="L715" s="13"/>
      <c r="M715" s="13"/>
    </row>
    <row r="716">
      <c r="L716" s="13"/>
      <c r="M716" s="13"/>
    </row>
    <row r="717">
      <c r="L717" s="13"/>
      <c r="M717" s="13"/>
    </row>
    <row r="718">
      <c r="L718" s="13"/>
      <c r="M718" s="13"/>
    </row>
    <row r="719">
      <c r="L719" s="13"/>
      <c r="M719" s="13"/>
    </row>
    <row r="720">
      <c r="L720" s="13"/>
      <c r="M720" s="13"/>
    </row>
    <row r="721">
      <c r="L721" s="13"/>
      <c r="M721" s="13"/>
    </row>
    <row r="722">
      <c r="L722" s="13"/>
      <c r="M722" s="13"/>
    </row>
    <row r="723">
      <c r="L723" s="13"/>
      <c r="M723" s="13"/>
    </row>
    <row r="724">
      <c r="L724" s="13"/>
      <c r="M724" s="13"/>
    </row>
    <row r="725">
      <c r="L725" s="13"/>
      <c r="M725" s="13"/>
    </row>
    <row r="726">
      <c r="L726" s="13"/>
      <c r="M726" s="13"/>
    </row>
    <row r="727">
      <c r="L727" s="13"/>
      <c r="M727" s="13"/>
    </row>
    <row r="728">
      <c r="L728" s="13"/>
      <c r="M728" s="13"/>
    </row>
    <row r="729">
      <c r="L729" s="13"/>
      <c r="M729" s="13"/>
    </row>
    <row r="730">
      <c r="L730" s="13"/>
      <c r="M730" s="13"/>
    </row>
    <row r="731">
      <c r="L731" s="13"/>
      <c r="M731" s="13"/>
    </row>
    <row r="732">
      <c r="L732" s="13"/>
      <c r="M732" s="13"/>
    </row>
    <row r="733">
      <c r="L733" s="13"/>
      <c r="M733" s="13"/>
    </row>
    <row r="734">
      <c r="L734" s="13"/>
      <c r="M734" s="13"/>
    </row>
    <row r="735">
      <c r="L735" s="13"/>
      <c r="M735" s="13"/>
    </row>
    <row r="736">
      <c r="L736" s="13"/>
      <c r="M736" s="13"/>
    </row>
    <row r="737">
      <c r="L737" s="13"/>
      <c r="M737" s="13"/>
    </row>
    <row r="738">
      <c r="L738" s="13"/>
      <c r="M738" s="13"/>
    </row>
    <row r="739">
      <c r="L739" s="13"/>
      <c r="M739" s="13"/>
    </row>
    <row r="740">
      <c r="L740" s="13"/>
      <c r="M740" s="13"/>
    </row>
    <row r="741">
      <c r="L741" s="13"/>
      <c r="M741" s="13"/>
    </row>
    <row r="742">
      <c r="L742" s="13"/>
      <c r="M742" s="13"/>
    </row>
    <row r="743">
      <c r="L743" s="13"/>
      <c r="M743" s="13"/>
    </row>
    <row r="744">
      <c r="L744" s="13"/>
      <c r="M744" s="13"/>
    </row>
    <row r="745">
      <c r="L745" s="13"/>
      <c r="M745" s="13"/>
    </row>
    <row r="746">
      <c r="L746" s="13"/>
      <c r="M746" s="13"/>
    </row>
    <row r="747">
      <c r="L747" s="13"/>
      <c r="M747" s="13"/>
    </row>
    <row r="748">
      <c r="L748" s="13"/>
      <c r="M748" s="13"/>
    </row>
    <row r="749">
      <c r="L749" s="13"/>
      <c r="M749" s="13"/>
    </row>
    <row r="750">
      <c r="L750" s="13"/>
      <c r="M750" s="13"/>
    </row>
    <row r="751">
      <c r="L751" s="13"/>
      <c r="M751" s="13"/>
    </row>
    <row r="752">
      <c r="L752" s="13"/>
      <c r="M752" s="13"/>
    </row>
    <row r="753">
      <c r="L753" s="13"/>
      <c r="M753" s="13"/>
    </row>
    <row r="754">
      <c r="L754" s="13"/>
      <c r="M754" s="13"/>
    </row>
    <row r="755">
      <c r="L755" s="13"/>
      <c r="M755" s="13"/>
    </row>
    <row r="756">
      <c r="L756" s="13"/>
      <c r="M756" s="13"/>
    </row>
    <row r="757">
      <c r="L757" s="13"/>
      <c r="M757" s="13"/>
    </row>
    <row r="758">
      <c r="L758" s="13"/>
      <c r="M758" s="13"/>
    </row>
    <row r="759">
      <c r="L759" s="13"/>
      <c r="M759" s="13"/>
    </row>
    <row r="760">
      <c r="L760" s="13"/>
      <c r="M760" s="13"/>
    </row>
    <row r="761">
      <c r="L761" s="13"/>
      <c r="M761" s="13"/>
    </row>
    <row r="762">
      <c r="L762" s="13"/>
      <c r="M762" s="13"/>
    </row>
    <row r="763">
      <c r="L763" s="13"/>
      <c r="M763" s="13"/>
    </row>
    <row r="764">
      <c r="L764" s="13"/>
      <c r="M764" s="13"/>
    </row>
    <row r="765">
      <c r="L765" s="13"/>
      <c r="M765" s="13"/>
    </row>
    <row r="766">
      <c r="L766" s="13"/>
      <c r="M766" s="13"/>
    </row>
    <row r="767">
      <c r="L767" s="13"/>
      <c r="M767" s="13"/>
    </row>
    <row r="768">
      <c r="L768" s="13"/>
      <c r="M768" s="13"/>
    </row>
    <row r="769">
      <c r="L769" s="13"/>
      <c r="M769" s="13"/>
    </row>
    <row r="770">
      <c r="L770" s="13"/>
      <c r="M770" s="13"/>
    </row>
    <row r="771">
      <c r="L771" s="13"/>
      <c r="M771" s="13"/>
    </row>
    <row r="772">
      <c r="L772" s="13"/>
      <c r="M772" s="13"/>
    </row>
    <row r="773">
      <c r="L773" s="13"/>
      <c r="M773" s="13"/>
    </row>
    <row r="774">
      <c r="L774" s="13"/>
      <c r="M774" s="13"/>
    </row>
    <row r="775">
      <c r="L775" s="13"/>
      <c r="M775" s="13"/>
    </row>
    <row r="776">
      <c r="L776" s="13"/>
      <c r="M776" s="13"/>
    </row>
    <row r="777">
      <c r="L777" s="13"/>
      <c r="M777" s="13"/>
    </row>
    <row r="778">
      <c r="L778" s="13"/>
      <c r="M778" s="13"/>
    </row>
    <row r="779">
      <c r="L779" s="13"/>
      <c r="M779" s="13"/>
    </row>
    <row r="780">
      <c r="L780" s="13"/>
      <c r="M780" s="13"/>
    </row>
    <row r="781">
      <c r="L781" s="13"/>
      <c r="M781" s="13"/>
    </row>
    <row r="782">
      <c r="L782" s="13"/>
      <c r="M782" s="13"/>
    </row>
    <row r="783">
      <c r="L783" s="13"/>
      <c r="M783" s="13"/>
    </row>
    <row r="784">
      <c r="L784" s="13"/>
      <c r="M784" s="13"/>
    </row>
    <row r="785">
      <c r="L785" s="13"/>
      <c r="M785" s="13"/>
    </row>
    <row r="786">
      <c r="L786" s="13"/>
      <c r="M786" s="13"/>
    </row>
    <row r="787">
      <c r="L787" s="13"/>
      <c r="M787" s="13"/>
    </row>
    <row r="788">
      <c r="L788" s="13"/>
      <c r="M788" s="13"/>
    </row>
    <row r="789">
      <c r="L789" s="13"/>
      <c r="M789" s="13"/>
    </row>
    <row r="790">
      <c r="L790" s="13"/>
      <c r="M790" s="13"/>
    </row>
    <row r="791">
      <c r="L791" s="13"/>
      <c r="M791" s="13"/>
    </row>
    <row r="792">
      <c r="L792" s="13"/>
      <c r="M792" s="13"/>
    </row>
    <row r="793">
      <c r="L793" s="13"/>
      <c r="M793" s="13"/>
    </row>
    <row r="794">
      <c r="L794" s="13"/>
      <c r="M794" s="13"/>
    </row>
    <row r="795">
      <c r="L795" s="13"/>
      <c r="M795" s="13"/>
    </row>
    <row r="796">
      <c r="L796" s="13"/>
      <c r="M796" s="13"/>
    </row>
    <row r="797">
      <c r="L797" s="13"/>
      <c r="M797" s="13"/>
    </row>
    <row r="798">
      <c r="L798" s="13"/>
      <c r="M798" s="13"/>
    </row>
    <row r="799">
      <c r="L799" s="13"/>
      <c r="M799" s="13"/>
    </row>
    <row r="800">
      <c r="L800" s="13"/>
      <c r="M800" s="13"/>
    </row>
    <row r="801">
      <c r="L801" s="13"/>
      <c r="M801" s="13"/>
    </row>
    <row r="802">
      <c r="L802" s="13"/>
      <c r="M802" s="13"/>
    </row>
    <row r="803">
      <c r="L803" s="13"/>
      <c r="M803" s="13"/>
    </row>
    <row r="804">
      <c r="L804" s="13"/>
      <c r="M804" s="13"/>
    </row>
    <row r="805">
      <c r="L805" s="13"/>
      <c r="M805" s="13"/>
    </row>
    <row r="806">
      <c r="L806" s="13"/>
      <c r="M806" s="13"/>
    </row>
    <row r="807">
      <c r="L807" s="13"/>
      <c r="M807" s="13"/>
    </row>
    <row r="808">
      <c r="L808" s="13"/>
      <c r="M808" s="13"/>
    </row>
    <row r="809">
      <c r="L809" s="13"/>
      <c r="M809" s="13"/>
    </row>
    <row r="810">
      <c r="L810" s="13"/>
      <c r="M810" s="13"/>
    </row>
    <row r="811">
      <c r="L811" s="13"/>
      <c r="M811" s="13"/>
    </row>
    <row r="812">
      <c r="L812" s="13"/>
      <c r="M812" s="13"/>
    </row>
    <row r="813">
      <c r="L813" s="13"/>
      <c r="M813" s="13"/>
    </row>
    <row r="814">
      <c r="L814" s="13"/>
      <c r="M814" s="13"/>
    </row>
    <row r="815">
      <c r="L815" s="13"/>
      <c r="M815" s="13"/>
    </row>
    <row r="816">
      <c r="L816" s="13"/>
      <c r="M816" s="13"/>
    </row>
    <row r="817">
      <c r="L817" s="13"/>
      <c r="M817" s="13"/>
    </row>
    <row r="818">
      <c r="L818" s="13"/>
      <c r="M818" s="13"/>
    </row>
    <row r="819">
      <c r="L819" s="13"/>
      <c r="M819" s="13"/>
    </row>
    <row r="820">
      <c r="L820" s="13"/>
      <c r="M820" s="13"/>
    </row>
    <row r="821">
      <c r="L821" s="13"/>
      <c r="M821" s="13"/>
    </row>
    <row r="822">
      <c r="L822" s="13"/>
      <c r="M822" s="13"/>
    </row>
    <row r="823">
      <c r="L823" s="13"/>
      <c r="M823" s="13"/>
    </row>
    <row r="824">
      <c r="L824" s="13"/>
      <c r="M824" s="13"/>
    </row>
    <row r="825">
      <c r="L825" s="13"/>
      <c r="M825" s="13"/>
    </row>
    <row r="826">
      <c r="L826" s="13"/>
      <c r="M826" s="13"/>
    </row>
    <row r="827">
      <c r="L827" s="13"/>
      <c r="M827" s="13"/>
    </row>
    <row r="828">
      <c r="L828" s="13"/>
      <c r="M828" s="13"/>
    </row>
    <row r="829">
      <c r="L829" s="13"/>
      <c r="M829" s="13"/>
    </row>
    <row r="830">
      <c r="L830" s="13"/>
      <c r="M830" s="13"/>
    </row>
    <row r="831">
      <c r="L831" s="13"/>
      <c r="M831" s="13"/>
    </row>
    <row r="832">
      <c r="L832" s="13"/>
      <c r="M832" s="13"/>
    </row>
    <row r="833">
      <c r="L833" s="13"/>
      <c r="M833" s="13"/>
    </row>
    <row r="834">
      <c r="L834" s="13"/>
      <c r="M834" s="13"/>
    </row>
    <row r="835">
      <c r="L835" s="13"/>
      <c r="M835" s="13"/>
    </row>
    <row r="836">
      <c r="L836" s="13"/>
      <c r="M836" s="13"/>
    </row>
    <row r="837">
      <c r="L837" s="13"/>
      <c r="M837" s="13"/>
    </row>
    <row r="838">
      <c r="L838" s="13"/>
      <c r="M838" s="13"/>
    </row>
    <row r="839">
      <c r="L839" s="13"/>
      <c r="M839" s="13"/>
    </row>
    <row r="840">
      <c r="L840" s="13"/>
      <c r="M840" s="13"/>
    </row>
    <row r="841">
      <c r="L841" s="13"/>
      <c r="M841" s="13"/>
    </row>
    <row r="842">
      <c r="L842" s="13"/>
      <c r="M842" s="13"/>
    </row>
    <row r="843">
      <c r="L843" s="13"/>
      <c r="M843" s="13"/>
    </row>
    <row r="844">
      <c r="L844" s="13"/>
      <c r="M844" s="13"/>
    </row>
    <row r="845">
      <c r="L845" s="13"/>
      <c r="M845" s="13"/>
    </row>
    <row r="846">
      <c r="L846" s="13"/>
      <c r="M846" s="13"/>
    </row>
    <row r="847">
      <c r="L847" s="13"/>
      <c r="M847" s="13"/>
    </row>
    <row r="848">
      <c r="L848" s="13"/>
      <c r="M848" s="13"/>
    </row>
    <row r="849">
      <c r="L849" s="13"/>
      <c r="M849" s="13"/>
    </row>
    <row r="850">
      <c r="L850" s="13"/>
      <c r="M850" s="13"/>
    </row>
    <row r="851">
      <c r="L851" s="13"/>
      <c r="M851" s="13"/>
    </row>
    <row r="852">
      <c r="L852" s="13"/>
      <c r="M852" s="13"/>
    </row>
    <row r="853">
      <c r="L853" s="13"/>
      <c r="M853" s="13"/>
    </row>
    <row r="854">
      <c r="L854" s="13"/>
      <c r="M854" s="13"/>
    </row>
    <row r="855">
      <c r="L855" s="13"/>
      <c r="M855" s="13"/>
    </row>
    <row r="856">
      <c r="L856" s="13"/>
      <c r="M856" s="13"/>
    </row>
    <row r="857">
      <c r="L857" s="13"/>
      <c r="M857" s="13"/>
    </row>
    <row r="858">
      <c r="L858" s="13"/>
      <c r="M858" s="13"/>
    </row>
    <row r="859">
      <c r="L859" s="13"/>
      <c r="M859" s="13"/>
    </row>
    <row r="860">
      <c r="L860" s="13"/>
      <c r="M860" s="13"/>
    </row>
    <row r="861">
      <c r="L861" s="13"/>
      <c r="M861" s="13"/>
    </row>
    <row r="862">
      <c r="L862" s="13"/>
      <c r="M862" s="13"/>
    </row>
    <row r="863">
      <c r="L863" s="13"/>
      <c r="M863" s="13"/>
    </row>
    <row r="864">
      <c r="L864" s="13"/>
      <c r="M864" s="13"/>
    </row>
    <row r="865">
      <c r="L865" s="13"/>
      <c r="M865" s="13"/>
    </row>
    <row r="866">
      <c r="L866" s="13"/>
      <c r="M866" s="13"/>
    </row>
    <row r="867">
      <c r="L867" s="13"/>
      <c r="M867" s="13"/>
    </row>
    <row r="868">
      <c r="L868" s="13"/>
      <c r="M868" s="13"/>
    </row>
    <row r="869">
      <c r="L869" s="13"/>
      <c r="M869" s="13"/>
    </row>
    <row r="870">
      <c r="L870" s="13"/>
      <c r="M870" s="13"/>
    </row>
    <row r="871">
      <c r="L871" s="13"/>
      <c r="M871" s="13"/>
    </row>
    <row r="872">
      <c r="L872" s="13"/>
      <c r="M872" s="13"/>
    </row>
    <row r="873">
      <c r="L873" s="13"/>
      <c r="M873" s="13"/>
    </row>
    <row r="874">
      <c r="L874" s="13"/>
      <c r="M874" s="13"/>
    </row>
    <row r="875">
      <c r="L875" s="13"/>
      <c r="M875" s="13"/>
    </row>
    <row r="876">
      <c r="L876" s="13"/>
      <c r="M876" s="13"/>
    </row>
    <row r="877">
      <c r="L877" s="13"/>
      <c r="M877" s="13"/>
    </row>
    <row r="878">
      <c r="L878" s="13"/>
      <c r="M878" s="13"/>
    </row>
    <row r="879">
      <c r="L879" s="13"/>
      <c r="M879" s="13"/>
    </row>
    <row r="880">
      <c r="L880" s="13"/>
      <c r="M880" s="13"/>
    </row>
    <row r="881">
      <c r="L881" s="13"/>
      <c r="M881" s="13"/>
    </row>
    <row r="882">
      <c r="L882" s="13"/>
      <c r="M882" s="13"/>
    </row>
    <row r="883">
      <c r="L883" s="13"/>
      <c r="M883" s="13"/>
    </row>
    <row r="884">
      <c r="L884" s="13"/>
      <c r="M884" s="13"/>
    </row>
    <row r="885">
      <c r="L885" s="13"/>
      <c r="M885" s="13"/>
    </row>
    <row r="886">
      <c r="L886" s="13"/>
      <c r="M886" s="13"/>
    </row>
    <row r="887">
      <c r="L887" s="13"/>
      <c r="M887" s="13"/>
    </row>
    <row r="888">
      <c r="L888" s="13"/>
      <c r="M888" s="13"/>
    </row>
    <row r="889">
      <c r="L889" s="13"/>
      <c r="M889" s="13"/>
    </row>
    <row r="890">
      <c r="L890" s="13"/>
      <c r="M890" s="13"/>
    </row>
    <row r="891">
      <c r="L891" s="13"/>
      <c r="M891" s="13"/>
    </row>
    <row r="892">
      <c r="L892" s="13"/>
      <c r="M892" s="13"/>
    </row>
    <row r="893">
      <c r="L893" s="13"/>
      <c r="M893" s="13"/>
    </row>
    <row r="894">
      <c r="L894" s="13"/>
      <c r="M894" s="13"/>
    </row>
    <row r="895">
      <c r="L895" s="13"/>
      <c r="M895" s="13"/>
    </row>
    <row r="896">
      <c r="L896" s="13"/>
      <c r="M896" s="13"/>
    </row>
    <row r="897">
      <c r="L897" s="13"/>
      <c r="M897" s="13"/>
    </row>
    <row r="898">
      <c r="L898" s="13"/>
      <c r="M898" s="13"/>
    </row>
    <row r="899">
      <c r="L899" s="13"/>
      <c r="M899" s="13"/>
    </row>
    <row r="900">
      <c r="L900" s="13"/>
      <c r="M900" s="13"/>
    </row>
    <row r="901">
      <c r="L901" s="13"/>
      <c r="M901" s="13"/>
    </row>
    <row r="902">
      <c r="L902" s="13"/>
      <c r="M902" s="13"/>
    </row>
    <row r="903">
      <c r="L903" s="13"/>
      <c r="M903" s="13"/>
    </row>
    <row r="904">
      <c r="L904" s="13"/>
      <c r="M904" s="13"/>
    </row>
    <row r="905">
      <c r="L905" s="13"/>
      <c r="M905" s="13"/>
    </row>
    <row r="906">
      <c r="L906" s="13"/>
      <c r="M906" s="13"/>
    </row>
    <row r="907">
      <c r="L907" s="13"/>
      <c r="M907" s="13"/>
    </row>
    <row r="908">
      <c r="L908" s="13"/>
      <c r="M908" s="13"/>
    </row>
    <row r="909">
      <c r="L909" s="13"/>
      <c r="M909" s="13"/>
    </row>
    <row r="910">
      <c r="L910" s="13"/>
      <c r="M910" s="13"/>
    </row>
    <row r="911">
      <c r="L911" s="13"/>
      <c r="M911" s="13"/>
    </row>
    <row r="912">
      <c r="L912" s="13"/>
      <c r="M912" s="13"/>
    </row>
    <row r="913">
      <c r="L913" s="13"/>
      <c r="M913" s="13"/>
    </row>
    <row r="914">
      <c r="L914" s="13"/>
      <c r="M914" s="13"/>
    </row>
    <row r="915">
      <c r="L915" s="13"/>
      <c r="M915" s="13"/>
    </row>
    <row r="916">
      <c r="L916" s="13"/>
      <c r="M916" s="13"/>
    </row>
    <row r="917">
      <c r="L917" s="13"/>
      <c r="M917" s="13"/>
    </row>
    <row r="918">
      <c r="L918" s="13"/>
      <c r="M918" s="13"/>
    </row>
    <row r="919">
      <c r="L919" s="13"/>
      <c r="M919" s="13"/>
    </row>
    <row r="920">
      <c r="L920" s="13"/>
      <c r="M920" s="13"/>
    </row>
    <row r="921">
      <c r="L921" s="13"/>
      <c r="M921" s="13"/>
    </row>
    <row r="922">
      <c r="L922" s="13"/>
      <c r="M922" s="13"/>
    </row>
    <row r="923">
      <c r="L923" s="13"/>
      <c r="M923" s="13"/>
    </row>
    <row r="924">
      <c r="L924" s="13"/>
      <c r="M924" s="13"/>
    </row>
    <row r="925">
      <c r="L925" s="13"/>
      <c r="M925" s="13"/>
    </row>
    <row r="926">
      <c r="L926" s="13"/>
      <c r="M926" s="13"/>
    </row>
    <row r="927">
      <c r="L927" s="13"/>
      <c r="M927" s="13"/>
    </row>
    <row r="928">
      <c r="L928" s="13"/>
      <c r="M928" s="13"/>
    </row>
    <row r="929">
      <c r="L929" s="13"/>
      <c r="M929" s="13"/>
    </row>
    <row r="930">
      <c r="L930" s="13"/>
      <c r="M930" s="13"/>
    </row>
    <row r="931">
      <c r="L931" s="13"/>
      <c r="M931" s="13"/>
    </row>
    <row r="932">
      <c r="L932" s="13"/>
      <c r="M932" s="13"/>
    </row>
    <row r="933">
      <c r="L933" s="13"/>
      <c r="M933" s="13"/>
    </row>
    <row r="934">
      <c r="L934" s="13"/>
      <c r="M934" s="13"/>
    </row>
    <row r="935">
      <c r="L935" s="13"/>
      <c r="M935" s="13"/>
    </row>
    <row r="936">
      <c r="L936" s="13"/>
      <c r="M936" s="13"/>
    </row>
    <row r="937">
      <c r="L937" s="13"/>
      <c r="M937" s="13"/>
    </row>
    <row r="938">
      <c r="L938" s="13"/>
      <c r="M938" s="13"/>
    </row>
    <row r="939">
      <c r="L939" s="13"/>
      <c r="M939" s="13"/>
    </row>
    <row r="940">
      <c r="L940" s="13"/>
      <c r="M940" s="13"/>
    </row>
    <row r="941">
      <c r="L941" s="13"/>
      <c r="M941" s="13"/>
    </row>
    <row r="942">
      <c r="L942" s="13"/>
      <c r="M942" s="13"/>
    </row>
    <row r="943">
      <c r="L943" s="13"/>
      <c r="M943" s="13"/>
    </row>
    <row r="944">
      <c r="L944" s="13"/>
      <c r="M944" s="13"/>
    </row>
    <row r="945">
      <c r="L945" s="13"/>
      <c r="M945" s="13"/>
    </row>
    <row r="946">
      <c r="L946" s="13"/>
      <c r="M946" s="13"/>
    </row>
    <row r="947">
      <c r="L947" s="13"/>
      <c r="M947" s="13"/>
    </row>
    <row r="948">
      <c r="L948" s="13"/>
      <c r="M948" s="13"/>
    </row>
    <row r="949">
      <c r="L949" s="13"/>
      <c r="M949" s="13"/>
    </row>
    <row r="950">
      <c r="L950" s="13"/>
      <c r="M950" s="13"/>
    </row>
    <row r="951">
      <c r="L951" s="13"/>
      <c r="M951" s="13"/>
    </row>
    <row r="952">
      <c r="L952" s="13"/>
      <c r="M952" s="13"/>
    </row>
    <row r="953">
      <c r="L953" s="13"/>
      <c r="M953" s="13"/>
    </row>
    <row r="954">
      <c r="L954" s="13"/>
      <c r="M954" s="13"/>
    </row>
    <row r="955">
      <c r="L955" s="13"/>
      <c r="M955" s="13"/>
    </row>
    <row r="956">
      <c r="L956" s="13"/>
      <c r="M956" s="13"/>
    </row>
    <row r="957">
      <c r="L957" s="13"/>
      <c r="M957" s="13"/>
    </row>
    <row r="958">
      <c r="L958" s="13"/>
      <c r="M958" s="13"/>
    </row>
    <row r="959">
      <c r="L959" s="13"/>
      <c r="M959" s="13"/>
    </row>
    <row r="960">
      <c r="L960" s="13"/>
      <c r="M960" s="13"/>
    </row>
    <row r="961">
      <c r="L961" s="13"/>
      <c r="M961" s="13"/>
    </row>
    <row r="962">
      <c r="L962" s="13"/>
      <c r="M962" s="13"/>
    </row>
    <row r="963">
      <c r="L963" s="13"/>
      <c r="M963" s="13"/>
    </row>
    <row r="964">
      <c r="L964" s="13"/>
      <c r="M964" s="13"/>
    </row>
    <row r="965">
      <c r="L965" s="13"/>
      <c r="M965" s="13"/>
    </row>
    <row r="966">
      <c r="L966" s="13"/>
      <c r="M966" s="13"/>
    </row>
    <row r="967">
      <c r="L967" s="13"/>
      <c r="M967" s="13"/>
    </row>
    <row r="968">
      <c r="L968" s="13"/>
      <c r="M968" s="13"/>
    </row>
    <row r="969">
      <c r="L969" s="13"/>
      <c r="M969" s="13"/>
    </row>
    <row r="970">
      <c r="L970" s="13"/>
      <c r="M970" s="13"/>
    </row>
    <row r="971">
      <c r="L971" s="13"/>
      <c r="M971" s="13"/>
    </row>
    <row r="972">
      <c r="L972" s="13"/>
      <c r="M972" s="13"/>
    </row>
    <row r="973">
      <c r="L973" s="13"/>
      <c r="M973" s="13"/>
    </row>
    <row r="974">
      <c r="L974" s="13"/>
      <c r="M974" s="13"/>
    </row>
    <row r="975">
      <c r="L975" s="13"/>
      <c r="M975" s="13"/>
    </row>
    <row r="976">
      <c r="L976" s="13"/>
      <c r="M976" s="13"/>
    </row>
    <row r="977">
      <c r="L977" s="13"/>
      <c r="M977" s="13"/>
    </row>
    <row r="978">
      <c r="L978" s="13"/>
      <c r="M978" s="13"/>
    </row>
    <row r="979">
      <c r="L979" s="13"/>
      <c r="M979" s="13"/>
    </row>
    <row r="980">
      <c r="L980" s="13"/>
      <c r="M980" s="13"/>
    </row>
    <row r="981">
      <c r="L981" s="13"/>
      <c r="M981" s="13"/>
    </row>
    <row r="982">
      <c r="L982" s="13"/>
      <c r="M982" s="13"/>
    </row>
    <row r="983">
      <c r="L983" s="13"/>
      <c r="M983" s="13"/>
    </row>
    <row r="984">
      <c r="L984" s="13"/>
      <c r="M984" s="13"/>
    </row>
    <row r="985">
      <c r="L985" s="13"/>
      <c r="M985" s="13"/>
    </row>
    <row r="986">
      <c r="L986" s="13"/>
      <c r="M986" s="13"/>
    </row>
    <row r="987">
      <c r="L987" s="13"/>
      <c r="M987" s="13"/>
    </row>
    <row r="988">
      <c r="L988" s="13"/>
      <c r="M988" s="13"/>
    </row>
    <row r="989">
      <c r="L989" s="13"/>
      <c r="M989" s="13"/>
    </row>
    <row r="990">
      <c r="L990" s="13"/>
      <c r="M990" s="13"/>
    </row>
    <row r="991">
      <c r="L991" s="13"/>
      <c r="M991" s="13"/>
    </row>
    <row r="992">
      <c r="L992" s="13"/>
      <c r="M992" s="13"/>
    </row>
    <row r="993">
      <c r="L993" s="13"/>
      <c r="M993" s="13"/>
    </row>
    <row r="994">
      <c r="L994" s="13"/>
      <c r="M994" s="13"/>
    </row>
    <row r="995">
      <c r="L995" s="13"/>
      <c r="M995" s="13"/>
    </row>
    <row r="996">
      <c r="L996" s="13"/>
      <c r="M996" s="13"/>
    </row>
    <row r="997">
      <c r="L997" s="13"/>
      <c r="M997" s="13"/>
    </row>
    <row r="998">
      <c r="L998" s="13"/>
      <c r="M998" s="13"/>
    </row>
    <row r="999">
      <c r="L999" s="13"/>
      <c r="M999" s="13"/>
    </row>
    <row r="1000">
      <c r="L1000" s="13"/>
      <c r="M1000" s="13"/>
    </row>
  </sheetData>
  <drawing r:id="rId1"/>
</worksheet>
</file>